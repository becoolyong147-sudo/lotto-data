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145" windowHeight="9525" tabRatio="600" firstSheet="0" activeTab="5" autoFilterDateGrouping="1"/>
  </bookViews>
  <sheets>
    <sheet name="📖 使用说明" sheetId="1" state="visible" r:id="rId1"/>
    <sheet name="📌 命中追踪" sheetId="2" state="visible" r:id="rId2"/>
    <sheet name="🔬 方法验证" sheetId="3" state="visible" r:id="rId3"/>
    <sheet name="📊 月度总结" sheetId="4" state="visible" r:id="rId4"/>
    <sheet name="💡 透视表指引" sheetId="5" state="visible" r:id="rId5"/>
    <sheet name="🔢 位数追踪" sheetId="6" state="visible" r:id="rId6"/>
    <sheet name="📂 3D归档" sheetId="7" state="visible" r:id="rId7"/>
    <sheet name="📂 4D归档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yyyy\-mm\-dd"/>
    <numFmt numFmtId="165" formatCode="0000"/>
    <numFmt numFmtId="166" formatCode="0.0%"/>
    <numFmt numFmtId="167" formatCode="0&quot;次&quot;"/>
    <numFmt numFmtId="168" formatCode="000"/>
    <numFmt numFmtId="169" formatCode="YYYY-MM-DD"/>
    <numFmt numFmtId="170" formatCode="_-&quot;RM&quot;* #,##0.00_-;\-&quot;RM&quot;* #,##0.00_-;_-&quot;RM&quot;* &quot;-&quot;??_-;_-@_-"/>
    <numFmt numFmtId="171" formatCode="_-&quot;RM&quot;* #,##0_-;\-&quot;RM&quot;* #,##0_-;_-&quot;RM&quot;* &quot;-&quot;??_-;_-@_-"/>
  </numFmts>
  <fonts count="82">
    <font>
      <name val="新細明體"/>
      <charset val="134"/>
      <color theme="1"/>
      <sz val="11"/>
      <scheme val="minor"/>
    </font>
    <font>
      <name val="Arial"/>
      <charset val="134"/>
      <b val="1"/>
      <color rgb="FFFFFFFF"/>
      <sz val="12"/>
    </font>
    <font>
      <name val="Arial"/>
      <charset val="134"/>
      <b val="1"/>
      <color rgb="FFFFFFFF"/>
      <sz val="9"/>
    </font>
    <font>
      <name val="Arial"/>
      <charset val="134"/>
      <b val="1"/>
      <color rgb="FFFFFFFF"/>
      <sz val="10"/>
    </font>
    <font>
      <name val="Arial"/>
      <charset val="134"/>
      <color rgb="FF94A3B8"/>
      <sz val="10"/>
    </font>
    <font>
      <name val="Calibri"/>
      <charset val="134"/>
      <sz val="11"/>
    </font>
    <font>
      <name val="Arial"/>
      <charset val="134"/>
      <color rgb="FF1A1A1A"/>
      <sz val="10"/>
    </font>
    <font>
      <name val="Arial"/>
      <charset val="134"/>
      <b val="1"/>
      <color rgb="FF1E40AF"/>
      <sz val="10"/>
    </font>
    <font>
      <name val="Arial"/>
      <charset val="134"/>
      <b val="1"/>
      <color rgb="FF1A1A1A"/>
      <sz val="10"/>
    </font>
    <font>
      <name val="Arial"/>
      <charset val="134"/>
      <b val="1"/>
      <color rgb="FF166534"/>
      <sz val="10"/>
    </font>
    <font>
      <name val="Arial"/>
      <charset val="134"/>
      <b val="1"/>
      <color rgb="FF7C3AED"/>
      <sz val="10"/>
    </font>
    <font>
      <name val="Arial"/>
      <charset val="134"/>
      <b val="1"/>
      <color rgb="FF059669"/>
      <sz val="10"/>
    </font>
    <font>
      <name val="Arial"/>
      <charset val="134"/>
      <b val="1"/>
      <color rgb="FFB45309"/>
      <sz val="10"/>
    </font>
    <font>
      <name val="Arial"/>
      <charset val="134"/>
      <i val="1"/>
      <color rgb="FF94A3B8"/>
      <sz val="10"/>
    </font>
    <font>
      <name val="Arial"/>
      <charset val="134"/>
      <b val="1"/>
      <color rgb="FFFFFFFF"/>
      <sz val="11"/>
    </font>
    <font>
      <name val="Arial"/>
      <charset val="134"/>
      <b val="1"/>
      <color rgb="FF1E40AF"/>
      <sz val="9"/>
    </font>
    <font>
      <name val="Arial"/>
      <charset val="134"/>
      <i val="1"/>
      <color rgb="FF94A3B8"/>
      <sz val="9"/>
    </font>
    <font>
      <name val="Arial"/>
      <charset val="134"/>
      <b val="1"/>
      <color rgb="FF7C3AED"/>
      <sz val="9"/>
    </font>
    <font>
      <name val="Arial"/>
      <charset val="134"/>
      <b val="1"/>
      <color rgb="FF059669"/>
      <sz val="9"/>
    </font>
    <font>
      <name val="Arial"/>
      <charset val="134"/>
      <b val="1"/>
      <color rgb="FFB45309"/>
      <sz val="9"/>
    </font>
    <font>
      <name val="Arial"/>
      <charset val="134"/>
      <i val="1"/>
      <color rgb="FF7C5A1E"/>
      <sz val="10"/>
    </font>
    <font>
      <name val="Arial"/>
      <charset val="134"/>
      <i val="1"/>
      <color rgb="FF991B1B"/>
      <sz val="10"/>
    </font>
    <font>
      <name val="Arial"/>
      <charset val="134"/>
      <b val="1"/>
      <color rgb="FFFFFFFF"/>
      <sz val="13"/>
    </font>
    <font>
      <name val="Arial"/>
      <charset val="134"/>
      <b val="1"/>
      <color rgb="FF1E3A5F"/>
      <sz val="10"/>
    </font>
    <font>
      <name val="Arial"/>
      <charset val="134"/>
      <i val="1"/>
      <color rgb="FF475569"/>
      <sz val="10"/>
    </font>
    <font>
      <name val="Arial"/>
      <charset val="134"/>
      <color rgb="FF000000"/>
      <sz val="10"/>
    </font>
    <font>
      <name val="Arial"/>
      <charset val="134"/>
      <b val="1"/>
      <color rgb="FF16A34A"/>
      <sz val="10"/>
    </font>
    <font>
      <name val="Arial"/>
      <charset val="134"/>
      <b val="1"/>
      <color rgb="FF000000"/>
      <sz val="10"/>
    </font>
    <font>
      <name val="Arial"/>
      <charset val="134"/>
      <b val="1"/>
      <color rgb="FF16A34A"/>
      <sz val="11"/>
    </font>
    <font>
      <name val="Arial"/>
      <charset val="134"/>
      <i val="1"/>
      <color rgb="FF1E40AF"/>
      <sz val="10"/>
    </font>
    <font>
      <name val="Arial"/>
      <charset val="134"/>
      <b val="1"/>
      <color rgb="FFD4A960"/>
      <sz val="10"/>
    </font>
    <font>
      <name val="Arial"/>
      <charset val="134"/>
      <color rgb="FF1E3A5F"/>
      <sz val="10"/>
    </font>
    <font>
      <name val="Arial"/>
      <charset val="134"/>
      <color rgb="FF16A34A"/>
      <sz val="10"/>
    </font>
    <font>
      <name val="Arial"/>
      <charset val="134"/>
      <b val="1"/>
      <color rgb="FFFFFFFF"/>
      <sz val="14"/>
    </font>
    <font>
      <name val="Arial"/>
      <charset val="134"/>
      <color rgb="FF374151"/>
      <sz val="10"/>
    </font>
    <font>
      <name val="Arial"/>
      <charset val="134"/>
      <b val="1"/>
      <color rgb="FF7C5A1E"/>
      <sz val="11"/>
    </font>
    <font>
      <name val="Arial"/>
      <charset val="134"/>
      <color rgb="FF7C5A1E"/>
      <sz val="10"/>
    </font>
    <font>
      <name val="新細明體"/>
      <charset val="134"/>
      <color theme="1"/>
      <sz val="12"/>
      <scheme val="minor"/>
    </font>
    <font>
      <name val="新細明體"/>
      <charset val="0"/>
      <color rgb="FF0000FF"/>
      <sz val="11"/>
      <u val="single"/>
      <scheme val="minor"/>
    </font>
    <font>
      <name val="新細明體"/>
      <charset val="0"/>
      <color rgb="FF800080"/>
      <sz val="11"/>
      <u val="single"/>
      <scheme val="minor"/>
    </font>
    <font>
      <name val="新細明體"/>
      <charset val="0"/>
      <color rgb="FFFF0000"/>
      <sz val="11"/>
      <scheme val="minor"/>
    </font>
    <font>
      <name val="新細明體"/>
      <charset val="134"/>
      <b val="1"/>
      <color theme="3"/>
      <sz val="18"/>
      <scheme val="minor"/>
    </font>
    <font>
      <name val="新細明體"/>
      <charset val="0"/>
      <i val="1"/>
      <color rgb="FF7F7F7F"/>
      <sz val="11"/>
      <scheme val="minor"/>
    </font>
    <font>
      <name val="新細明體"/>
      <charset val="134"/>
      <b val="1"/>
      <color theme="3"/>
      <sz val="15"/>
      <scheme val="minor"/>
    </font>
    <font>
      <name val="新細明體"/>
      <charset val="134"/>
      <b val="1"/>
      <color theme="3"/>
      <sz val="13"/>
      <scheme val="minor"/>
    </font>
    <font>
      <name val="新細明體"/>
      <charset val="134"/>
      <b val="1"/>
      <color theme="3"/>
      <sz val="11"/>
      <scheme val="minor"/>
    </font>
    <font>
      <name val="新細明體"/>
      <charset val="0"/>
      <color rgb="FF3F3F76"/>
      <sz val="11"/>
      <scheme val="minor"/>
    </font>
    <font>
      <name val="新細明體"/>
      <charset val="0"/>
      <b val="1"/>
      <color rgb="FF3F3F3F"/>
      <sz val="11"/>
      <scheme val="minor"/>
    </font>
    <font>
      <name val="新細明體"/>
      <charset val="0"/>
      <b val="1"/>
      <color rgb="FFFA7D00"/>
      <sz val="11"/>
      <scheme val="minor"/>
    </font>
    <font>
      <name val="新細明體"/>
      <charset val="0"/>
      <b val="1"/>
      <color rgb="FFFFFFFF"/>
      <sz val="11"/>
      <scheme val="minor"/>
    </font>
    <font>
      <name val="新細明體"/>
      <charset val="0"/>
      <color rgb="FFFA7D00"/>
      <sz val="11"/>
      <scheme val="minor"/>
    </font>
    <font>
      <name val="新細明體"/>
      <charset val="0"/>
      <b val="1"/>
      <color theme="1"/>
      <sz val="11"/>
      <scheme val="minor"/>
    </font>
    <font>
      <name val="新細明體"/>
      <charset val="0"/>
      <color rgb="FF006100"/>
      <sz val="11"/>
      <scheme val="minor"/>
    </font>
    <font>
      <name val="新細明體"/>
      <charset val="0"/>
      <color rgb="FF9C0006"/>
      <sz val="11"/>
      <scheme val="minor"/>
    </font>
    <font>
      <name val="新細明體"/>
      <charset val="0"/>
      <color rgb="FF9C6500"/>
      <sz val="11"/>
      <scheme val="minor"/>
    </font>
    <font>
      <name val="新細明體"/>
      <charset val="0"/>
      <color theme="0"/>
      <sz val="11"/>
      <scheme val="minor"/>
    </font>
    <font>
      <name val="新細明體"/>
      <charset val="0"/>
      <color theme="1"/>
      <sz val="11"/>
      <scheme val="minor"/>
    </font>
    <font>
      <name val="Arial"/>
      <b val="1"/>
      <strike val="0"/>
      <color rgb="00FFFFFF"/>
      <sz val="12"/>
    </font>
    <font>
      <name val="Arial"/>
      <b val="1"/>
      <strike val="0"/>
      <color rgb="00FFFFFF"/>
      <sz val="9"/>
    </font>
    <font>
      <name val="Arial"/>
      <b val="1"/>
      <strike val="0"/>
      <color rgb="00166534"/>
      <sz val="10"/>
    </font>
    <font>
      <name val="Arial"/>
      <b val="1"/>
      <strike val="0"/>
      <color rgb="007C5A1E"/>
      <sz val="10"/>
    </font>
    <font>
      <name val="Arial"/>
      <b val="1"/>
      <strike val="0"/>
      <color rgb="001E40AF"/>
      <sz val="10"/>
    </font>
    <font>
      <name val="Arial"/>
      <b val="1"/>
      <strike val="0"/>
      <color rgb="000F766E"/>
      <sz val="10"/>
    </font>
    <font>
      <name val="Arial"/>
      <b val="1"/>
      <strike val="0"/>
      <color rgb="006B21A8"/>
      <sz val="10"/>
    </font>
    <font>
      <name val="Arial"/>
      <b val="1"/>
      <strike val="0"/>
      <color rgb="00374151"/>
      <sz val="10"/>
    </font>
    <font>
      <name val="Arial"/>
      <b val="1"/>
      <strike val="0"/>
      <color rgb="00065F46"/>
      <sz val="10"/>
    </font>
    <font>
      <name val="Arial"/>
      <b val="1"/>
      <strike val="0"/>
      <color rgb="009CA3AF"/>
      <sz val="10"/>
    </font>
    <font>
      <name val="Arial"/>
      <b val="1"/>
      <strike val="0"/>
      <color rgb="00166534"/>
      <sz val="9"/>
    </font>
    <font>
      <name val="Arial"/>
      <b val="1"/>
      <strike val="0"/>
      <color rgb="007C5A1E"/>
      <sz val="9"/>
    </font>
    <font>
      <name val="Arial"/>
      <b val="1"/>
      <strike val="0"/>
      <color rgb="001E40AF"/>
      <sz val="9"/>
    </font>
    <font>
      <name val="Arial"/>
      <b val="1"/>
      <strike val="0"/>
      <color rgb="000F766E"/>
      <sz val="9"/>
    </font>
    <font>
      <name val="Arial"/>
      <b val="1"/>
      <strike val="0"/>
      <color rgb="006B21A8"/>
      <sz val="9"/>
    </font>
    <font>
      <name val="Arial"/>
      <b val="1"/>
      <strike val="0"/>
      <color rgb="00374151"/>
      <sz val="9"/>
    </font>
    <font>
      <name val="Arial"/>
      <b val="1"/>
      <strike val="0"/>
      <color rgb="00065F46"/>
      <sz val="9"/>
    </font>
    <font>
      <name val="Arial"/>
      <b val="1"/>
      <strike val="0"/>
      <color rgb="009CA3AF"/>
      <sz val="9"/>
    </font>
    <font>
      <name val="Arial"/>
      <b val="1"/>
      <strike val="0"/>
      <color rgb="00FFFFFF"/>
      <sz val="10"/>
    </font>
    <font>
      <name val="Arial"/>
      <strike val="0"/>
      <color rgb="0094A3B8"/>
      <sz val="10"/>
    </font>
    <font>
      <name val="Arial"/>
      <b val="1"/>
      <strike val="0"/>
      <color rgb="00059669"/>
      <sz val="10"/>
    </font>
    <font>
      <name val="Arial"/>
      <b val="1"/>
      <strike val="0"/>
      <color rgb="007C3AED"/>
      <sz val="10"/>
    </font>
    <font>
      <name val="Arial"/>
      <strike val="0"/>
      <color rgb="001A1A1A"/>
      <sz val="10"/>
    </font>
    <font>
      <name val="Arial"/>
      <b val="1"/>
      <strike val="0"/>
      <color rgb="00B45309"/>
      <sz val="10"/>
    </font>
    <font>
      <name val="Arial"/>
      <b val="1"/>
      <strike val="0"/>
      <color rgb="00DC2626"/>
      <sz val="10"/>
    </font>
  </fonts>
  <fills count="75">
    <fill>
      <patternFill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059669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9D174D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EDF7ED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D4A960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59669"/>
      </patternFill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E5E7EB"/>
      </patternFill>
    </fill>
    <fill>
      <patternFill patternType="solid">
        <fgColor rgb="00475569"/>
      </patternFill>
    </fill>
    <fill>
      <patternFill patternType="solid">
        <fgColor rgb="001E40AF"/>
      </patternFill>
    </fill>
    <fill>
      <patternFill patternType="solid">
        <fgColor rgb="007C3AED"/>
      </patternFill>
    </fill>
    <fill>
      <patternFill patternType="solid">
        <fgColor rgb="00DC2626"/>
      </patternFill>
    </fill>
    <fill>
      <patternFill patternType="solid">
        <fgColor rgb="00B45309"/>
      </patternFill>
    </fill>
    <fill>
      <patternFill patternType="solid">
        <fgColor rgb="00374151"/>
      </patternFill>
    </fill>
    <fill>
      <patternFill patternType="solid">
        <fgColor rgb="00166534"/>
      </patternFill>
    </fill>
    <fill>
      <patternFill patternType="solid">
        <fgColor rgb="009D174D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1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5F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medium">
        <color rgb="FF1E3A5F"/>
      </bottom>
      <diagonal/>
    </border>
    <border>
      <left/>
      <right style="thin">
        <color rgb="FFCBD5E1"/>
      </right>
      <top style="thin">
        <color rgb="FFCBD5E1"/>
      </top>
      <bottom style="medium">
        <color rgb="FF1E3A5F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5F"/>
      </bottom>
    </border>
  </borders>
  <cellStyleXfs count="49">
    <xf numFmtId="0" fontId="0" fillId="0" borderId="0"/>
    <xf numFmtId="43" fontId="37" fillId="0" borderId="0" applyAlignment="1">
      <alignment vertical="center"/>
    </xf>
    <xf numFmtId="170" fontId="37" fillId="0" borderId="0" applyAlignment="1">
      <alignment vertical="center"/>
    </xf>
    <xf numFmtId="9" fontId="37" fillId="0" borderId="0" applyAlignment="1">
      <alignment vertical="center"/>
    </xf>
    <xf numFmtId="41" fontId="37" fillId="0" borderId="0" applyAlignment="1">
      <alignment vertical="center"/>
    </xf>
    <xf numFmtId="171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37" fillId="23" borderId="5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0" applyAlignment="1">
      <alignment vertical="center"/>
    </xf>
    <xf numFmtId="0" fontId="43" fillId="0" borderId="6" applyAlignment="1">
      <alignment vertical="center"/>
    </xf>
    <xf numFmtId="0" fontId="44" fillId="0" borderId="6" applyAlignment="1">
      <alignment vertical="center"/>
    </xf>
    <xf numFmtId="0" fontId="45" fillId="0" borderId="7" applyAlignment="1">
      <alignment vertical="center"/>
    </xf>
    <xf numFmtId="0" fontId="45" fillId="0" borderId="0" applyAlignment="1">
      <alignment vertical="center"/>
    </xf>
    <xf numFmtId="0" fontId="46" fillId="24" borderId="8" applyAlignment="1">
      <alignment vertical="center"/>
    </xf>
    <xf numFmtId="0" fontId="47" fillId="25" borderId="9" applyAlignment="1">
      <alignment vertical="center"/>
    </xf>
    <xf numFmtId="0" fontId="48" fillId="25" borderId="8" applyAlignment="1">
      <alignment vertical="center"/>
    </xf>
    <xf numFmtId="0" fontId="49" fillId="26" borderId="10" applyAlignment="1">
      <alignment vertical="center"/>
    </xf>
    <xf numFmtId="0" fontId="50" fillId="0" borderId="11" applyAlignment="1">
      <alignment vertical="center"/>
    </xf>
    <xf numFmtId="0" fontId="51" fillId="0" borderId="12" applyAlignment="1">
      <alignment vertical="center"/>
    </xf>
    <xf numFmtId="0" fontId="52" fillId="27" borderId="0" applyAlignment="1">
      <alignment vertical="center"/>
    </xf>
    <xf numFmtId="0" fontId="53" fillId="28" borderId="0" applyAlignment="1">
      <alignment vertical="center"/>
    </xf>
    <xf numFmtId="0" fontId="54" fillId="29" borderId="0" applyAlignment="1">
      <alignment vertical="center"/>
    </xf>
    <xf numFmtId="0" fontId="55" fillId="30" borderId="0" applyAlignment="1">
      <alignment vertical="center"/>
    </xf>
    <xf numFmtId="0" fontId="56" fillId="31" borderId="0" applyAlignment="1">
      <alignment vertical="center"/>
    </xf>
    <xf numFmtId="0" fontId="56" fillId="32" borderId="0" applyAlignment="1">
      <alignment vertical="center"/>
    </xf>
    <xf numFmtId="0" fontId="55" fillId="33" borderId="0" applyAlignment="1">
      <alignment vertical="center"/>
    </xf>
    <xf numFmtId="0" fontId="55" fillId="34" borderId="0" applyAlignment="1">
      <alignment vertical="center"/>
    </xf>
    <xf numFmtId="0" fontId="56" fillId="35" borderId="0" applyAlignment="1">
      <alignment vertical="center"/>
    </xf>
    <xf numFmtId="0" fontId="56" fillId="36" borderId="0" applyAlignment="1">
      <alignment vertical="center"/>
    </xf>
    <xf numFmtId="0" fontId="55" fillId="37" borderId="0" applyAlignment="1">
      <alignment vertical="center"/>
    </xf>
    <xf numFmtId="0" fontId="55" fillId="38" borderId="0" applyAlignment="1">
      <alignment vertical="center"/>
    </xf>
    <xf numFmtId="0" fontId="56" fillId="39" borderId="0" applyAlignment="1">
      <alignment vertical="center"/>
    </xf>
    <xf numFmtId="0" fontId="56" fillId="40" borderId="0" applyAlignment="1">
      <alignment vertical="center"/>
    </xf>
    <xf numFmtId="0" fontId="55" fillId="41" borderId="0" applyAlignment="1">
      <alignment vertical="center"/>
    </xf>
    <xf numFmtId="0" fontId="55" fillId="42" borderId="0" applyAlignment="1">
      <alignment vertical="center"/>
    </xf>
    <xf numFmtId="0" fontId="56" fillId="43" borderId="0" applyAlignment="1">
      <alignment vertical="center"/>
    </xf>
    <xf numFmtId="0" fontId="56" fillId="44" borderId="0" applyAlignment="1">
      <alignment vertical="center"/>
    </xf>
    <xf numFmtId="0" fontId="55" fillId="45" borderId="0" applyAlignment="1">
      <alignment vertical="center"/>
    </xf>
    <xf numFmtId="0" fontId="55" fillId="46" borderId="0" applyAlignment="1">
      <alignment vertical="center"/>
    </xf>
    <xf numFmtId="0" fontId="56" fillId="47" borderId="0" applyAlignment="1">
      <alignment vertical="center"/>
    </xf>
    <xf numFmtId="0" fontId="56" fillId="48" borderId="0" applyAlignment="1">
      <alignment vertical="center"/>
    </xf>
    <xf numFmtId="0" fontId="55" fillId="49" borderId="0" applyAlignment="1">
      <alignment vertical="center"/>
    </xf>
    <xf numFmtId="0" fontId="55" fillId="50" borderId="0" applyAlignment="1">
      <alignment vertical="center"/>
    </xf>
    <xf numFmtId="0" fontId="56" fillId="51" borderId="0" applyAlignment="1">
      <alignment vertical="center"/>
    </xf>
    <xf numFmtId="0" fontId="56" fillId="52" borderId="0" applyAlignment="1">
      <alignment vertical="center"/>
    </xf>
    <xf numFmtId="0" fontId="55" fillId="53" borderId="0" applyAlignment="1">
      <alignment vertical="center"/>
    </xf>
  </cellStyleXfs>
  <cellXfs count="18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165" fontId="6" fillId="17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166" fontId="9" fillId="15" borderId="1" applyAlignment="1" pivotButton="0" quotePrefix="0" xfId="0">
      <alignment horizontal="center" vertical="center"/>
    </xf>
    <xf numFmtId="167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/>
    </xf>
    <xf numFmtId="0" fontId="20" fillId="18" borderId="0" applyAlignment="1" pivotButton="0" quotePrefix="0" xfId="0">
      <alignment horizontal="left" vertical="center" wrapText="1"/>
    </xf>
    <xf numFmtId="0" fontId="21" fillId="19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23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24" fillId="11" borderId="1" applyAlignment="1" pivotButton="0" quotePrefix="0" xfId="0">
      <alignment horizontal="left" vertical="center" wrapText="1"/>
    </xf>
    <xf numFmtId="0" fontId="14" fillId="20" borderId="0" applyAlignment="1" pivotButton="0" quotePrefix="0" xfId="0">
      <alignment horizontal="left" vertical="center"/>
    </xf>
    <xf numFmtId="0" fontId="14" fillId="21" borderId="0" applyAlignment="1" pivotButton="0" quotePrefix="0" xfId="0">
      <alignment horizontal="left" vertical="center"/>
    </xf>
    <xf numFmtId="0" fontId="14" fillId="22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0" fontId="20" fillId="18" borderId="0" applyAlignment="1" pivotButton="0" quotePrefix="0" xfId="0">
      <alignment horizontal="center" vertical="center"/>
    </xf>
    <xf numFmtId="0" fontId="23" fillId="10" borderId="2" applyAlignment="1" pivotButton="0" quotePrefix="0" xfId="0">
      <alignment horizontal="center" vertical="center"/>
    </xf>
    <xf numFmtId="0" fontId="23" fillId="12" borderId="2" applyAlignment="1" pivotButton="0" quotePrefix="0" xfId="0">
      <alignment horizontal="center" vertical="center"/>
    </xf>
    <xf numFmtId="0" fontId="23" fillId="15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center" vertical="center"/>
    </xf>
    <xf numFmtId="0" fontId="23" fillId="18" borderId="2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166" fontId="27" fillId="11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166" fontId="27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/>
    </xf>
    <xf numFmtId="0" fontId="28" fillId="15" borderId="1" applyAlignment="1" pivotButton="0" quotePrefix="0" xfId="0">
      <alignment horizontal="center" vertical="center"/>
    </xf>
    <xf numFmtId="166" fontId="28" fillId="15" borderId="1" applyAlignment="1" pivotButton="0" quotePrefix="0" xfId="0">
      <alignment horizontal="center" vertical="center"/>
    </xf>
    <xf numFmtId="0" fontId="29" fillId="12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30" fillId="11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/>
    </xf>
    <xf numFmtId="0" fontId="30" fillId="17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166" fontId="3" fillId="2" borderId="2" applyAlignment="1" pivotButton="0" quotePrefix="0" xfId="0">
      <alignment horizontal="center" vertical="center"/>
    </xf>
    <xf numFmtId="0" fontId="0" fillId="2" borderId="2" pivotButton="0" quotePrefix="0" xfId="0"/>
    <xf numFmtId="164" fontId="25" fillId="11" borderId="1" applyAlignment="1" pivotButton="0" quotePrefix="0" xfId="0">
      <alignment horizontal="center" vertical="center"/>
    </xf>
    <xf numFmtId="164" fontId="25" fillId="17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23" fillId="18" borderId="1" applyAlignment="1" pivotButton="0" quotePrefix="0" xfId="0">
      <alignment horizontal="center" vertical="center"/>
    </xf>
    <xf numFmtId="0" fontId="23" fillId="14" borderId="1" applyAlignment="1" pivotButton="0" quotePrefix="0" xfId="0">
      <alignment horizontal="center" vertical="center"/>
    </xf>
    <xf numFmtId="0" fontId="31" fillId="11" borderId="1" applyAlignment="1" pivotButton="0" quotePrefix="0" xfId="0">
      <alignment horizontal="left" vertical="center"/>
    </xf>
    <xf numFmtId="1" fontId="6" fillId="11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center" vertical="center"/>
    </xf>
    <xf numFmtId="1" fontId="32" fillId="11" borderId="1" applyAlignment="1" pivotButton="0" quotePrefix="0" xfId="0">
      <alignment horizontal="center" vertical="center"/>
    </xf>
    <xf numFmtId="166" fontId="26" fillId="11" borderId="1" applyAlignment="1" pivotButton="0" quotePrefix="0" xfId="0">
      <alignment horizontal="center" vertical="center"/>
    </xf>
    <xf numFmtId="0" fontId="31" fillId="1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6" fontId="6" fillId="11" borderId="1" applyAlignment="1" pivotButton="0" quotePrefix="0" xfId="0">
      <alignment horizontal="center" vertical="center"/>
    </xf>
    <xf numFmtId="0" fontId="3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23" fillId="12" borderId="1" applyAlignment="1" pivotButton="0" quotePrefix="0" xfId="0">
      <alignment horizontal="left" vertical="center"/>
    </xf>
    <xf numFmtId="0" fontId="34" fillId="11" borderId="1" applyAlignment="1" pivotButton="0" quotePrefix="0" xfId="0">
      <alignment horizontal="left" vertical="center" wrapText="1"/>
    </xf>
    <xf numFmtId="0" fontId="26" fillId="15" borderId="1" applyAlignment="1" pivotButton="0" quotePrefix="0" xfId="0">
      <alignment horizontal="left" vertical="center"/>
    </xf>
    <xf numFmtId="0" fontId="35" fillId="21" borderId="0" applyAlignment="1" pivotButton="0" quotePrefix="0" xfId="0">
      <alignment horizontal="left" vertical="center"/>
    </xf>
    <xf numFmtId="0" fontId="36" fillId="18" borderId="1" applyAlignment="1" pivotButton="0" quotePrefix="0" xfId="0">
      <alignment horizontal="left" vertical="center" wrapText="1"/>
    </xf>
    <xf numFmtId="164" fontId="6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164" fontId="6" fillId="17" borderId="1" applyAlignment="1" pivotButton="0" quotePrefix="0" xfId="0">
      <alignment horizontal="center" vertical="center"/>
    </xf>
    <xf numFmtId="165" fontId="6" fillId="17" borderId="1" applyAlignment="1" pivotButton="0" quotePrefix="0" xfId="0">
      <alignment horizontal="center" vertical="center"/>
    </xf>
    <xf numFmtId="166" fontId="26" fillId="11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166" fontId="27" fillId="11" borderId="1" applyAlignment="1" pivotButton="0" quotePrefix="0" xfId="0">
      <alignment horizontal="center" vertical="center"/>
    </xf>
    <xf numFmtId="166" fontId="27" fillId="17" borderId="1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4" fontId="25" fillId="11" borderId="1" applyAlignment="1" pivotButton="0" quotePrefix="0" xfId="0">
      <alignment horizontal="center" vertical="center"/>
    </xf>
    <xf numFmtId="164" fontId="25" fillId="17" borderId="1" applyAlignment="1" pivotButton="0" quotePrefix="0" xfId="0">
      <alignment horizontal="center" vertical="center"/>
    </xf>
    <xf numFmtId="166" fontId="28" fillId="15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6" fontId="9" fillId="15" borderId="1" applyAlignment="1" pivotButton="0" quotePrefix="0" xfId="0">
      <alignment horizontal="center" vertical="center"/>
    </xf>
    <xf numFmtId="167" fontId="16" fillId="10" borderId="1" applyAlignment="1" pivotButton="0" quotePrefix="0" xfId="0">
      <alignment horizontal="center" vertical="center"/>
    </xf>
    <xf numFmtId="0" fontId="57" fillId="54" borderId="0" applyAlignment="1" pivotButton="0" quotePrefix="0" xfId="0">
      <alignment horizontal="center" vertical="center"/>
    </xf>
    <xf numFmtId="0" fontId="67" fillId="56" borderId="17" applyAlignment="1" pivotButton="0" quotePrefix="0" xfId="0">
      <alignment horizontal="center" vertical="center"/>
    </xf>
    <xf numFmtId="0" fontId="68" fillId="57" borderId="17" applyAlignment="1" pivotButton="0" quotePrefix="0" xfId="0">
      <alignment horizontal="center" vertical="center"/>
    </xf>
    <xf numFmtId="0" fontId="69" fillId="58" borderId="17" applyAlignment="1" pivotButton="0" quotePrefix="0" xfId="0">
      <alignment horizontal="center" vertical="center"/>
    </xf>
    <xf numFmtId="0" fontId="70" fillId="59" borderId="17" applyAlignment="1" pivotButton="0" quotePrefix="0" xfId="0">
      <alignment horizontal="center" vertical="center"/>
    </xf>
    <xf numFmtId="0" fontId="71" fillId="60" borderId="17" applyAlignment="1" pivotButton="0" quotePrefix="0" xfId="0">
      <alignment horizontal="center" vertical="center"/>
    </xf>
    <xf numFmtId="0" fontId="72" fillId="61" borderId="17" applyAlignment="1" pivotButton="0" quotePrefix="0" xfId="0">
      <alignment horizontal="center" vertical="center"/>
    </xf>
    <xf numFmtId="0" fontId="73" fillId="62" borderId="17" applyAlignment="1" pivotButton="0" quotePrefix="0" xfId="0">
      <alignment horizontal="center" vertical="center"/>
    </xf>
    <xf numFmtId="0" fontId="74" fillId="63" borderId="17" applyAlignment="1" pivotButton="0" quotePrefix="0" xfId="0">
      <alignment horizontal="center" vertical="center"/>
    </xf>
    <xf numFmtId="0" fontId="58" fillId="55" borderId="17" applyAlignment="1" pivotButton="0" quotePrefix="0" xfId="0">
      <alignment horizontal="center" vertical="center"/>
    </xf>
    <xf numFmtId="0" fontId="59" fillId="56" borderId="17" applyAlignment="1" pivotButton="0" quotePrefix="0" xfId="0">
      <alignment horizontal="center" vertical="center"/>
    </xf>
    <xf numFmtId="0" fontId="60" fillId="57" borderId="17" applyAlignment="1" pivotButton="0" quotePrefix="0" xfId="0">
      <alignment horizontal="center" vertical="center"/>
    </xf>
    <xf numFmtId="0" fontId="61" fillId="58" borderId="17" applyAlignment="1" pivotButton="0" quotePrefix="0" xfId="0">
      <alignment horizontal="center" vertical="center"/>
    </xf>
    <xf numFmtId="0" fontId="62" fillId="59" borderId="17" applyAlignment="1" pivotButton="0" quotePrefix="0" xfId="0">
      <alignment horizontal="center" vertical="center"/>
    </xf>
    <xf numFmtId="0" fontId="63" fillId="60" borderId="17" applyAlignment="1" pivotButton="0" quotePrefix="0" xfId="0">
      <alignment horizontal="center" vertical="center"/>
    </xf>
    <xf numFmtId="0" fontId="64" fillId="61" borderId="17" applyAlignment="1" pivotButton="0" quotePrefix="0" xfId="0">
      <alignment horizontal="center" vertical="center"/>
    </xf>
    <xf numFmtId="0" fontId="65" fillId="62" borderId="17" applyAlignment="1" pivotButton="0" quotePrefix="0" xfId="0">
      <alignment horizontal="center" vertical="center"/>
    </xf>
    <xf numFmtId="0" fontId="66" fillId="63" borderId="17" applyAlignment="1" pivotButton="0" quotePrefix="0" xfId="0">
      <alignment horizontal="center" vertical="center"/>
    </xf>
    <xf numFmtId="0" fontId="75" fillId="64" borderId="18" applyAlignment="1" pivotButton="0" quotePrefix="0" xfId="0">
      <alignment horizontal="center" vertical="center"/>
    </xf>
    <xf numFmtId="0" fontId="75" fillId="54" borderId="18" applyAlignment="1" pivotButton="0" quotePrefix="0" xfId="0">
      <alignment horizontal="center" vertical="center"/>
    </xf>
    <xf numFmtId="0" fontId="75" fillId="65" borderId="18" applyAlignment="1" pivotButton="0" quotePrefix="0" xfId="0">
      <alignment horizontal="center" vertical="center"/>
    </xf>
    <xf numFmtId="0" fontId="75" fillId="66" borderId="18" applyAlignment="1" pivotButton="0" quotePrefix="0" xfId="0">
      <alignment horizontal="center" vertical="center"/>
    </xf>
    <xf numFmtId="0" fontId="75" fillId="67" borderId="18" applyAlignment="1" pivotButton="0" quotePrefix="0" xfId="0">
      <alignment horizontal="center" vertical="center"/>
    </xf>
    <xf numFmtId="0" fontId="75" fillId="68" borderId="18" applyAlignment="1" pivotButton="0" quotePrefix="0" xfId="0">
      <alignment horizontal="center" vertical="center"/>
    </xf>
    <xf numFmtId="0" fontId="75" fillId="69" borderId="18" applyAlignment="1" pivotButton="0" quotePrefix="0" xfId="0">
      <alignment horizontal="center" vertical="center"/>
    </xf>
    <xf numFmtId="0" fontId="75" fillId="70" borderId="18" applyAlignment="1" pivotButton="0" quotePrefix="0" xfId="0">
      <alignment horizontal="center" vertical="center"/>
    </xf>
    <xf numFmtId="0" fontId="75" fillId="71" borderId="18" applyAlignment="1" pivotButton="0" quotePrefix="0" xfId="0">
      <alignment horizontal="center" vertical="center"/>
    </xf>
    <xf numFmtId="0" fontId="76" fillId="72" borderId="17" applyAlignment="1" pivotButton="0" quotePrefix="0" xfId="0">
      <alignment horizontal="center" vertical="center"/>
    </xf>
    <xf numFmtId="168" fontId="77" fillId="73" borderId="17" applyAlignment="1" pivotButton="0" quotePrefix="0" xfId="0">
      <alignment horizontal="center" vertical="center"/>
    </xf>
    <xf numFmtId="0" fontId="78" fillId="73" borderId="17" applyAlignment="1" pivotButton="0" quotePrefix="0" xfId="0">
      <alignment horizontal="center" vertical="center"/>
    </xf>
    <xf numFmtId="0" fontId="61" fillId="73" borderId="17" applyAlignment="1" pivotButton="0" quotePrefix="0" xfId="0">
      <alignment horizontal="center" vertical="center"/>
    </xf>
    <xf numFmtId="0" fontId="79" fillId="73" borderId="17" applyAlignment="1" pivotButton="0" quotePrefix="0" xfId="0">
      <alignment horizontal="center" vertical="center"/>
    </xf>
    <xf numFmtId="169" fontId="79" fillId="73" borderId="17" applyAlignment="1" pivotButton="0" quotePrefix="0" xfId="0">
      <alignment horizontal="center" vertical="center"/>
    </xf>
    <xf numFmtId="0" fontId="79" fillId="73" borderId="17" applyAlignment="1" pivotButton="0" quotePrefix="0" xfId="0">
      <alignment horizontal="left" vertical="center"/>
    </xf>
    <xf numFmtId="168" fontId="77" fillId="74" borderId="17" applyAlignment="1" pivotButton="0" quotePrefix="0" xfId="0">
      <alignment horizontal="center" vertical="center"/>
    </xf>
    <xf numFmtId="0" fontId="78" fillId="74" borderId="17" applyAlignment="1" pivotButton="0" quotePrefix="0" xfId="0">
      <alignment horizontal="center" vertical="center"/>
    </xf>
    <xf numFmtId="0" fontId="61" fillId="74" borderId="17" applyAlignment="1" pivotButton="0" quotePrefix="0" xfId="0">
      <alignment horizontal="center" vertical="center"/>
    </xf>
    <xf numFmtId="0" fontId="79" fillId="74" borderId="17" applyAlignment="1" pivotButton="0" quotePrefix="0" xfId="0">
      <alignment horizontal="center" vertical="center"/>
    </xf>
    <xf numFmtId="169" fontId="79" fillId="74" borderId="17" applyAlignment="1" pivotButton="0" quotePrefix="0" xfId="0">
      <alignment horizontal="center" vertical="center"/>
    </xf>
    <xf numFmtId="0" fontId="79" fillId="74" borderId="17" applyAlignment="1" pivotButton="0" quotePrefix="0" xfId="0">
      <alignment horizontal="left" vertical="center"/>
    </xf>
    <xf numFmtId="0" fontId="57" fillId="65" borderId="0" applyAlignment="1" pivotButton="0" quotePrefix="0" xfId="0">
      <alignment horizontal="center" vertical="center"/>
    </xf>
    <xf numFmtId="165" fontId="61" fillId="73" borderId="17" applyAlignment="1" pivotButton="0" quotePrefix="0" xfId="0">
      <alignment horizontal="center" vertical="center"/>
    </xf>
    <xf numFmtId="0" fontId="80" fillId="73" borderId="17" applyAlignment="1" pivotButton="0" quotePrefix="0" xfId="0">
      <alignment horizontal="center" vertical="center"/>
    </xf>
    <xf numFmtId="168" fontId="81" fillId="73" borderId="17" applyAlignment="1" pivotButton="0" quotePrefix="0" xfId="0">
      <alignment horizontal="center" vertical="center"/>
    </xf>
    <xf numFmtId="165" fontId="61" fillId="74" borderId="17" applyAlignment="1" pivotButton="0" quotePrefix="0" xfId="0">
      <alignment horizontal="center" vertical="center"/>
    </xf>
    <xf numFmtId="0" fontId="80" fillId="74" borderId="17" applyAlignment="1" pivotButton="0" quotePrefix="0" xfId="0">
      <alignment horizontal="center" vertical="center"/>
    </xf>
    <xf numFmtId="168" fontId="81" fillId="74" borderId="17" applyAlignment="1" pivotButton="0" quotePrefix="0" xfId="0">
      <alignment horizontal="center" vertical="center"/>
    </xf>
    <xf numFmtId="168" fontId="77" fillId="73" borderId="17" applyAlignment="1" pivotButton="0" quotePrefix="0" xfId="0">
      <alignment horizontal="center" vertical="center"/>
    </xf>
    <xf numFmtId="169" fontId="79" fillId="73" borderId="17" applyAlignment="1" pivotButton="0" quotePrefix="0" xfId="0">
      <alignment horizontal="center" vertical="center"/>
    </xf>
    <xf numFmtId="168" fontId="77" fillId="74" borderId="17" applyAlignment="1" pivotButton="0" quotePrefix="0" xfId="0">
      <alignment horizontal="center" vertical="center"/>
    </xf>
    <xf numFmtId="169" fontId="79" fillId="74" borderId="17" applyAlignment="1" pivotButton="0" quotePrefix="0" xfId="0">
      <alignment horizontal="center" vertical="center"/>
    </xf>
    <xf numFmtId="168" fontId="81" fillId="73" borderId="17" applyAlignment="1" pivotButton="0" quotePrefix="0" xfId="0">
      <alignment horizontal="center" vertical="center"/>
    </xf>
    <xf numFmtId="168" fontId="81" fillId="74" borderId="17" applyAlignment="1" pivotButton="0" quotePrefix="0" xfId="0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1">
    <dxf>
      <font>
        <name val="Arial"/>
        <strike val="0"/>
        <color rgb="00166534"/>
        <sz val="10"/>
      </font>
      <fill>
        <patternFill patternType="solid">
          <fgColor rgb="00DCFCE7"/>
        </patternFill>
      </fill>
    </dxf>
    <dxf>
      <font>
        <name val="Arial"/>
        <strike val="0"/>
        <color rgb="007C5A1E"/>
        <sz val="10"/>
      </font>
      <fill>
        <patternFill patternType="solid">
          <fgColor rgb="00FEF9C3"/>
        </patternFill>
      </fill>
    </dxf>
    <dxf>
      <font>
        <name val="Arial"/>
        <strike val="0"/>
        <color rgb="001E40AF"/>
        <sz val="10"/>
      </font>
      <fill>
        <patternFill patternType="solid">
          <fgColor rgb="00DBEAFE"/>
        </patternFill>
      </fill>
    </dxf>
    <dxf>
      <font>
        <name val="Arial"/>
        <strike val="0"/>
        <color rgb="000F766E"/>
        <sz val="10"/>
      </font>
      <fill>
        <patternFill patternType="solid">
          <fgColor rgb="00CCFBF1"/>
        </patternFill>
      </fill>
    </dxf>
    <dxf>
      <font>
        <name val="Arial"/>
        <strike val="0"/>
        <color rgb="006B21A8"/>
        <sz val="10"/>
      </font>
      <fill>
        <patternFill patternType="solid">
          <fgColor rgb="00EDE9FE"/>
        </patternFill>
      </fill>
    </dxf>
    <dxf>
      <font>
        <name val="Arial"/>
        <strike val="0"/>
        <color rgb="00374151"/>
        <sz val="10"/>
      </font>
      <fill>
        <patternFill patternType="solid">
          <fgColor rgb="00F3F4F6"/>
        </patternFill>
      </fill>
    </dxf>
    <dxf>
      <font>
        <name val="Arial"/>
        <strike val="0"/>
        <color rgb="00065F46"/>
        <sz val="10"/>
      </font>
      <fill>
        <patternFill patternType="solid">
          <fgColor rgb="00ECFDF5"/>
        </patternFill>
      </fill>
    </dxf>
    <dxf>
      <font>
        <name val="Arial"/>
        <strike val="1"/>
        <color rgb="009CA3AF"/>
        <sz val="10"/>
      </font>
      <fill>
        <patternFill patternType="solid">
          <fgColor rgb="00E5E7EB"/>
        </patternFill>
      </fill>
    </dxf>
    <dxf>
      <font>
        <name val="Arial"/>
        <b val="1"/>
        <color rgb="007C5A1E"/>
        <sz val="11"/>
      </font>
      <fill>
        <patternFill patternType="solid">
          <fgColor rgb="00FEF9C3"/>
        </patternFill>
      </fill>
    </dxf>
    <dxf>
      <font>
        <name val="Arial"/>
        <b val="1"/>
        <color rgb="00166534"/>
        <sz val="10"/>
      </font>
      <fill>
        <patternFill patternType="solid">
          <fgColor rgb="00DCFCE7"/>
        </patternFill>
      </fill>
    </dxf>
    <dxf>
      <font>
        <name val="Arial"/>
        <b val="1"/>
        <color rgb="00991B1B"/>
        <sz val="10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1E3A5F"/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ColWidth="9" defaultRowHeight="15.75"/>
  <cols>
    <col width="3" customWidth="1" min="1" max="1"/>
    <col width="28" customWidth="1" min="2" max="2"/>
    <col width="60" customWidth="1" min="3" max="3"/>
    <col width="3" customWidth="1" min="4" max="4"/>
  </cols>
  <sheetData>
    <row r="1" ht="8" customHeight="1"/>
    <row r="2" ht="36" customHeight="1">
      <c r="B2" s="107" t="inlineStr">
        <is>
          <t>万马多新豪 v62 — 分析模板使用指南</t>
        </is>
      </c>
    </row>
    <row r="3" ht="22" customHeight="1">
      <c r="B3" s="80" t="inlineStr">
        <is>
          <t>配合系统导出的 Excel 文件使用 · 纯数据 · 不预测</t>
        </is>
      </c>
    </row>
    <row r="4" ht="10" customHeight="1"/>
    <row r="5" ht="26" customHeight="1">
      <c r="B5" s="108" t="inlineStr">
        <is>
          <t xml:space="preserve">  📋 本模板包含以下工作表</t>
        </is>
      </c>
    </row>
    <row r="6" ht="8" customHeight="1"/>
    <row r="7" ht="22" customHeight="1">
      <c r="B7" s="109" t="inlineStr">
        <is>
          <t>📖 使用说明</t>
        </is>
      </c>
      <c r="C7" s="110" t="inlineStr">
        <is>
          <t>你现在在这里。说明各表用途和操作流程。</t>
        </is>
      </c>
    </row>
    <row r="8" ht="22" customHeight="1">
      <c r="B8" s="109" t="inlineStr">
        <is>
          <t>📌 命中追踪</t>
        </is>
      </c>
      <c r="C8" s="110" t="inlineStr">
        <is>
          <t>每期记录你选的号码 + 实际开奖 → 自动统计命中率、方法效果。</t>
        </is>
      </c>
    </row>
    <row r="9" ht="22" customHeight="1">
      <c r="B9" s="109" t="inlineStr">
        <is>
          <t>🔬 方法验证</t>
        </is>
      </c>
      <c r="C9" s="110" t="inlineStr">
        <is>
          <t>用 COUNTIFS 公式深挖各方法的真实成功率，避免「感觉有效」的偏差。</t>
        </is>
      </c>
    </row>
    <row r="10" ht="22" customHeight="1">
      <c r="B10" s="109" t="inlineStr">
        <is>
          <t>📊 月度总结</t>
        </is>
      </c>
      <c r="C10" s="110" t="inlineStr">
        <is>
          <t>按月汇总命中率、花费、回报，找出你最强的月份和市场。</t>
        </is>
      </c>
    </row>
    <row r="11" ht="22" customHeight="1">
      <c r="B11" s="109" t="inlineStr">
        <is>
          <t>💡 透视表指引</t>
        </is>
      </c>
      <c r="C11" s="110" t="inlineStr">
        <is>
          <t>手把手说明如何在导出的历史数据上建立数据透视表做更深分析。</t>
        </is>
      </c>
    </row>
    <row r="12"/>
    <row r="13" ht="26" customHeight="1">
      <c r="B13" s="59" t="inlineStr">
        <is>
          <t xml:space="preserve">  🔄 推荐工作流程（每期）</t>
        </is>
      </c>
    </row>
    <row r="14" ht="20" customHeight="1">
      <c r="B14" s="111" t="inlineStr">
        <is>
          <t>① 开奖前</t>
        </is>
      </c>
      <c r="C14" s="30" t="inlineStr">
        <is>
          <t>在系统里完成分析 → 选出 5-10 个候选号码</t>
        </is>
      </c>
    </row>
    <row r="15" ht="20" customHeight="1">
      <c r="B15" s="111" t="inlineStr">
        <is>
          <t>② 记录选号</t>
        </is>
      </c>
      <c r="C15" s="30" t="inlineStr">
        <is>
          <t>在「命中追踪」表填入日期、市场、你选的号码、使用的方法</t>
        </is>
      </c>
    </row>
    <row r="16" ht="20" customHeight="1">
      <c r="B16" s="111" t="inlineStr">
        <is>
          <t>③ 开奖后</t>
        </is>
      </c>
      <c r="C16" s="30" t="inlineStr">
        <is>
          <t>填入实际头/二/三奖号码 → 命中列自动变色</t>
        </is>
      </c>
    </row>
    <row r="17" ht="20" customHeight="1">
      <c r="B17" s="111" t="inlineStr">
        <is>
          <t>④ 每月一次</t>
        </is>
      </c>
      <c r="C17" s="30" t="inlineStr">
        <is>
          <t>看「月度总结」表的命中率变化 → 找规律</t>
        </is>
      </c>
    </row>
    <row r="18" ht="20" customHeight="1">
      <c r="B18" s="111" t="inlineStr">
        <is>
          <t>⑤ 每季一次</t>
        </is>
      </c>
      <c r="C18" s="30" t="inlineStr">
        <is>
          <t>看「方法验证」表 → 停用效果差的方法，加强有效的</t>
        </is>
      </c>
    </row>
    <row r="19"/>
    <row r="20" ht="26" customHeight="1">
      <c r="B20" s="112" t="inlineStr">
        <is>
          <t xml:space="preserve">  ⚠️  重要提醒</t>
        </is>
      </c>
    </row>
    <row r="21" ht="22" customHeight="1">
      <c r="B21" s="113" t="inlineStr">
        <is>
          <t xml:space="preserve">  • 彩票属于随机事件，本模板只是帮助你「有纪律地记录决策」，无法提高中奖概率。</t>
        </is>
      </c>
      <c r="C21" s="45" t="n"/>
    </row>
    <row r="22" ht="22" customHeight="1">
      <c r="B22" s="113" t="inlineStr">
        <is>
          <t xml:space="preserve">  • 命中追踪的意义不是证明你会赢，而是找出哪些方法让你输得少一点。</t>
        </is>
      </c>
      <c r="C22" s="45" t="n"/>
    </row>
    <row r="23" ht="22" customHeight="1">
      <c r="B23" s="113" t="inlineStr">
        <is>
          <t xml:space="preserve">  • 建议连续使用至少 3 个月，样本太少的统计没有意义。</t>
        </is>
      </c>
      <c r="C23" s="45" t="n"/>
    </row>
    <row r="24" ht="22" customHeight="1">
      <c r="B24" s="113" t="inlineStr">
        <is>
          <t xml:space="preserve">  • 每次开奖后务必填写实际结果，否则命中率统计会失效。</t>
        </is>
      </c>
      <c r="C24" s="45" t="n"/>
    </row>
  </sheetData>
  <mergeCells count="9">
    <mergeCell ref="B13:C13"/>
    <mergeCell ref="B21:C21"/>
    <mergeCell ref="B2:C2"/>
    <mergeCell ref="B24:C24"/>
    <mergeCell ref="B3:C3"/>
    <mergeCell ref="B5:C5"/>
    <mergeCell ref="B20:C20"/>
    <mergeCell ref="B23:C23"/>
    <mergeCell ref="B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E40AF"/>
    <outlinePr summaryBelow="1" summaryRight="1"/>
    <pageSetUpPr/>
  </sheetPr>
  <dimension ref="A2:R104"/>
  <sheetViews>
    <sheetView showGridLines="0"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.75"/>
  <cols>
    <col width="5" customWidth="1" min="1" max="1"/>
    <col width="12" customWidth="1" min="2" max="2"/>
    <col width="10" customWidth="1" min="3" max="12"/>
    <col width="12" customWidth="1" min="13" max="13"/>
    <col width="18" customWidth="1" min="14" max="14"/>
    <col width="28" customWidth="1" min="15" max="15"/>
    <col width="4" customWidth="1" min="16" max="16"/>
    <col width="16" customWidth="1" min="17" max="17"/>
    <col width="12" customWidth="1" min="18" max="18"/>
  </cols>
  <sheetData>
    <row r="1" ht="8" customHeight="1"/>
    <row r="2" ht="34" customHeight="1">
      <c r="A2" s="53" t="inlineStr">
        <is>
          <t>📌 命中追踪表 — 每期选号 vs 实际开奖</t>
        </is>
      </c>
      <c r="Q2" s="42" t="inlineStr">
        <is>
          <t>📊 实时统计</t>
        </is>
      </c>
    </row>
    <row r="3" ht="18" customHeight="1">
      <c r="A3" s="93" t="inlineStr">
        <is>
          <t>#</t>
        </is>
      </c>
      <c r="B3" s="93" t="inlineStr">
        <is>
          <t>日期</t>
        </is>
      </c>
      <c r="C3" s="93" t="inlineStr">
        <is>
          <t>市场</t>
        </is>
      </c>
      <c r="D3" s="94" t="inlineStr">
        <is>
          <t>← 我选的号码（最多5个）→</t>
        </is>
      </c>
      <c r="E3" s="44" t="n"/>
      <c r="F3" s="44" t="n"/>
      <c r="G3" s="44" t="n"/>
      <c r="H3" s="45" t="n"/>
      <c r="I3" s="95" t="inlineStr">
        <is>
          <t>← 实际开奖 →</t>
        </is>
      </c>
      <c r="J3" s="44" t="n"/>
      <c r="K3" s="45" t="n"/>
      <c r="L3" s="96" t="inlineStr">
        <is>
          <t>命中</t>
        </is>
      </c>
      <c r="M3" s="96" t="inlineStr">
        <is>
          <t>中奖号</t>
        </is>
      </c>
      <c r="N3" s="97" t="inlineStr">
        <is>
          <t>方法</t>
        </is>
      </c>
      <c r="O3" s="93" t="inlineStr">
        <is>
          <t>备注</t>
        </is>
      </c>
    </row>
    <row r="4" ht="20" customHeight="1">
      <c r="A4" s="64" t="inlineStr">
        <is>
          <t>#</t>
        </is>
      </c>
      <c r="B4" s="64" t="inlineStr">
        <is>
          <t>日期</t>
        </is>
      </c>
      <c r="C4" s="64" t="inlineStr">
        <is>
          <t>市场</t>
        </is>
      </c>
      <c r="D4" s="65" t="inlineStr">
        <is>
          <t>选号1</t>
        </is>
      </c>
      <c r="E4" s="65" t="inlineStr">
        <is>
          <t>选号2</t>
        </is>
      </c>
      <c r="F4" s="65" t="inlineStr">
        <is>
          <t>选号3</t>
        </is>
      </c>
      <c r="G4" s="65" t="inlineStr">
        <is>
          <t>选号4</t>
        </is>
      </c>
      <c r="H4" s="65" t="inlineStr">
        <is>
          <t>选号5</t>
        </is>
      </c>
      <c r="I4" s="66" t="inlineStr">
        <is>
          <t>头奖</t>
        </is>
      </c>
      <c r="J4" s="66" t="inlineStr">
        <is>
          <t>二奖</t>
        </is>
      </c>
      <c r="K4" s="66" t="inlineStr">
        <is>
          <t>三奖</t>
        </is>
      </c>
      <c r="L4" s="68" t="inlineStr">
        <is>
          <t>命中?</t>
        </is>
      </c>
      <c r="M4" s="68" t="inlineStr">
        <is>
          <t>中奖号</t>
        </is>
      </c>
      <c r="N4" s="67" t="inlineStr">
        <is>
          <t>方法</t>
        </is>
      </c>
      <c r="O4" s="64" t="inlineStr">
        <is>
          <t>备注</t>
        </is>
      </c>
      <c r="Q4" s="98" t="inlineStr">
        <is>
          <t>总期数</t>
        </is>
      </c>
      <c r="R4" s="99">
        <f>COUNTA(B5:B104)</f>
        <v/>
      </c>
    </row>
    <row r="5" ht="20" customHeight="1">
      <c r="A5" s="16" t="n">
        <v>1</v>
      </c>
      <c r="B5" s="114" t="n"/>
      <c r="C5" s="18" t="n"/>
      <c r="D5" s="115" t="n"/>
      <c r="E5" s="115" t="n"/>
      <c r="F5" s="115" t="n"/>
      <c r="G5" s="115" t="n"/>
      <c r="H5" s="115" t="n"/>
      <c r="I5" s="115" t="n"/>
      <c r="J5" s="115" t="n"/>
      <c r="K5" s="115" t="n"/>
      <c r="L5" s="100">
        <f>IF(COUNTA(D5:H5)=0,"",IF(SUMPRODUCT((ISNUMBER(MATCH(IF(D5:H5&lt;&gt;"",D5:H5,0),IF(I5:K5&lt;&gt;"",I5:K5,999999),0)))*1)&gt;0,"✅ 命中","❌"))</f>
        <v/>
      </c>
      <c r="M5" s="71">
        <f>IF(L5="✅ 命中",IFERROR(INDEX(D5:H5,MATCH(1,ISNUMBER(MATCH(IF(D5:H5&lt;&gt;"",D5:H5,0),IF(I5:K5&lt;&gt;"",I5:K5,999999),0))*1,0)),""),"--")</f>
        <v/>
      </c>
      <c r="N5" s="18" t="n"/>
      <c r="O5" s="30" t="n"/>
      <c r="Q5" s="98" t="inlineStr">
        <is>
          <t>有选号期数</t>
        </is>
      </c>
      <c r="R5" s="99">
        <f>SUMPRODUCT(--(MMULT(--(D5:H104&lt;&gt;""),{1,1,1,1,1})&gt;0))</f>
        <v/>
      </c>
    </row>
    <row r="6" ht="20" customHeight="1">
      <c r="A6" s="16" t="n">
        <v>2</v>
      </c>
      <c r="B6" s="116" t="n"/>
      <c r="C6" s="40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01">
        <f>IF(COUNTA(D6:H6)=0,"",IF(SUMPRODUCT((ISNUMBER(MATCH(IF(D6:H6&lt;&gt;"",D6:H6,0),IF(I6:K6&lt;&gt;"",I6:K6,999999),0)))*1)&gt;0,"✅ 命中","❌"))</f>
        <v/>
      </c>
      <c r="M6" s="74">
        <f>IF(L6="✅ 命中",IFERROR(INDEX(D6:H6,MATCH(1,ISNUMBER(MATCH(IF(D6:H6&lt;&gt;"",D6:H6,0),IF(I6:K6&lt;&gt;"",I6:K6,999999),0))*1,0)),""),"--")</f>
        <v/>
      </c>
      <c r="N6" s="40" t="n"/>
      <c r="O6" s="36" t="n"/>
      <c r="Q6" s="98" t="inlineStr">
        <is>
          <t>命中次数</t>
        </is>
      </c>
      <c r="R6" s="102">
        <f>COUNTIF(L5:L104,"✅ 命中")</f>
        <v/>
      </c>
    </row>
    <row r="7" ht="20" customHeight="1">
      <c r="A7" s="16" t="n">
        <v>3</v>
      </c>
      <c r="B7" s="114" t="n"/>
      <c r="C7" s="18" t="n"/>
      <c r="D7" s="115" t="n"/>
      <c r="E7" s="115" t="n"/>
      <c r="F7" s="115" t="n"/>
      <c r="G7" s="115" t="n"/>
      <c r="H7" s="115" t="n"/>
      <c r="I7" s="115" t="n"/>
      <c r="J7" s="115" t="n"/>
      <c r="K7" s="115" t="n"/>
      <c r="L7" s="100">
        <f>IF(COUNTA(D7:H7)=0,"",IF(SUMPRODUCT((ISNUMBER(MATCH(IF(D7:H7&lt;&gt;"",D7:H7,0),IF(I7:K7&lt;&gt;"",I7:K7,999999),0)))*1)&gt;0,"✅ 命中","❌"))</f>
        <v/>
      </c>
      <c r="M7" s="71">
        <f>IF(L7="✅ 命中",IFERROR(INDEX(D7:H7,MATCH(1,ISNUMBER(MATCH(IF(D7:H7&lt;&gt;"",D7:H7,0),IF(I7:K7&lt;&gt;"",I7:K7,999999),0))*1,0)),""),"--")</f>
        <v/>
      </c>
      <c r="N7" s="18" t="n"/>
      <c r="O7" s="30" t="n"/>
      <c r="Q7" s="98" t="inlineStr">
        <is>
          <t>命中率</t>
        </is>
      </c>
      <c r="R7" s="118">
        <f>IFERROR(COUNTIF(L5:L104,"✅ 命中")/COUNTIF(L5:L104,"&lt;&gt;"),0)</f>
        <v/>
      </c>
    </row>
    <row r="8" ht="20" customHeight="1">
      <c r="A8" s="16" t="n">
        <v>4</v>
      </c>
      <c r="B8" s="116" t="n"/>
      <c r="C8" s="40" t="n"/>
      <c r="D8" s="117" t="n"/>
      <c r="E8" s="117" t="n"/>
      <c r="F8" s="117" t="n"/>
      <c r="G8" s="117" t="n"/>
      <c r="H8" s="117" t="n"/>
      <c r="I8" s="117" t="n"/>
      <c r="J8" s="117" t="n"/>
      <c r="K8" s="117" t="n"/>
      <c r="L8" s="101">
        <f>IF(COUNTA(D8:H8)=0,"",IF(SUMPRODUCT((ISNUMBER(MATCH(IF(D8:H8&lt;&gt;"",D8:H8,0),IF(I8:K8&lt;&gt;"",I8:K8,999999),0)))*1)&gt;0,"✅ 命中","❌"))</f>
        <v/>
      </c>
      <c r="M8" s="74">
        <f>IF(L8="✅ 命中",IFERROR(INDEX(D8:H8,MATCH(1,ISNUMBER(MATCH(IF(D8:H8&lt;&gt;"",D8:H8,0),IF(I8:K8&lt;&gt;"",I8:K8,999999),0))*1,0)),""),"--")</f>
        <v/>
      </c>
      <c r="N8" s="40" t="n"/>
      <c r="O8" s="36" t="n"/>
      <c r="Q8" s="104" t="inlineStr"/>
      <c r="R8" s="87" t="inlineStr"/>
    </row>
    <row r="9" ht="20" customHeight="1">
      <c r="A9" s="16" t="n">
        <v>5</v>
      </c>
      <c r="B9" s="114" t="n"/>
      <c r="C9" s="18" t="n"/>
      <c r="D9" s="115" t="n"/>
      <c r="E9" s="115" t="n"/>
      <c r="F9" s="115" t="n"/>
      <c r="G9" s="115" t="n"/>
      <c r="H9" s="115" t="n"/>
      <c r="I9" s="115" t="n"/>
      <c r="J9" s="115" t="n"/>
      <c r="K9" s="115" t="n"/>
      <c r="L9" s="100">
        <f>IF(COUNTA(D9:H9)=0,"",IF(SUMPRODUCT((ISNUMBER(MATCH(IF(D9:H9&lt;&gt;"",D9:H9,0),IF(I9:K9&lt;&gt;"",I9:K9,999999),0)))*1)&gt;0,"✅ 命中","❌"))</f>
        <v/>
      </c>
      <c r="M9" s="71">
        <f>IF(L9="✅ 命中",IFERROR(INDEX(D9:H9,MATCH(1,ISNUMBER(MATCH(IF(D9:H9&lt;&gt;"",D9:H9,0),IF(I9:K9&lt;&gt;"",I9:K9,999999),0))*1,0)),""),"--")</f>
        <v/>
      </c>
      <c r="N9" s="18" t="n"/>
      <c r="O9" s="30" t="n"/>
      <c r="Q9" s="105" t="inlineStr">
        <is>
          <t>─ 按方法 ─</t>
        </is>
      </c>
      <c r="R9" s="87" t="inlineStr"/>
    </row>
    <row r="10" ht="20" customHeight="1">
      <c r="A10" s="16" t="n">
        <v>6</v>
      </c>
      <c r="B10" s="116" t="n"/>
      <c r="C10" s="40" t="n"/>
      <c r="D10" s="117" t="n"/>
      <c r="E10" s="117" t="n"/>
      <c r="F10" s="117" t="n"/>
      <c r="G10" s="117" t="n"/>
      <c r="H10" s="117" t="n"/>
      <c r="I10" s="117" t="n"/>
      <c r="J10" s="117" t="n"/>
      <c r="K10" s="117" t="n"/>
      <c r="L10" s="101">
        <f>IF(COUNTA(D10:H10)=0,"",IF(SUMPRODUCT((ISNUMBER(MATCH(IF(D10:H10&lt;&gt;"",D10:H10,0),IF(I10:K10&lt;&gt;"",I10:K10,999999),0)))*1)&gt;0,"✅ 命中","❌"))</f>
        <v/>
      </c>
      <c r="M10" s="74">
        <f>IF(L10="✅ 命中",IFERROR(INDEX(D10:H10,MATCH(1,ISNUMBER(MATCH(IF(D10:H10&lt;&gt;"",D10:H10,0),IF(I10:K10&lt;&gt;"",I10:K10,999999),0))*1,0)),""),"--")</f>
        <v/>
      </c>
      <c r="N10" s="40" t="n"/>
      <c r="O10" s="36" t="n"/>
      <c r="Q10" s="98" t="inlineStr">
        <is>
          <t>数根链</t>
        </is>
      </c>
      <c r="R10" s="119">
        <f>IFERROR(COUNTIFS(N5:N104,"数根链",L5:L104,"✅ 命中")/COUNTIF(N5:N104,"数根链"),0)</f>
        <v/>
      </c>
    </row>
    <row r="11" ht="20" customHeight="1">
      <c r="A11" s="16" t="n">
        <v>7</v>
      </c>
      <c r="B11" s="114" t="n"/>
      <c r="C11" s="18" t="n"/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00">
        <f>IF(COUNTA(D11:H11)=0,"",IF(SUMPRODUCT((ISNUMBER(MATCH(IF(D11:H11&lt;&gt;"",D11:H11,0),IF(I11:K11&lt;&gt;"",I11:K11,999999),0)))*1)&gt;0,"✅ 命中","❌"))</f>
        <v/>
      </c>
      <c r="M11" s="71">
        <f>IF(L11="✅ 命中",IFERROR(INDEX(D11:H11,MATCH(1,ISNUMBER(MATCH(IF(D11:H11&lt;&gt;"",D11:H11,0),IF(I11:K11&lt;&gt;"",I11:K11,999999),0))*1,0)),""),"--")</f>
        <v/>
      </c>
      <c r="N11" s="18" t="n"/>
      <c r="O11" s="30" t="n"/>
      <c r="Q11" s="98" t="inlineStr">
        <is>
          <t>配对分析</t>
        </is>
      </c>
      <c r="R11" s="119">
        <f>IFERROR(COUNTIFS(N5:N104,"配对分析",L5:L104,"✅ 命中")/COUNTIF(N5:N104,"配对分析"),0)</f>
        <v/>
      </c>
    </row>
    <row r="12" ht="20" customHeight="1">
      <c r="A12" s="16" t="n">
        <v>8</v>
      </c>
      <c r="B12" s="116" t="n"/>
      <c r="C12" s="40" t="n"/>
      <c r="D12" s="117" t="n"/>
      <c r="E12" s="117" t="n"/>
      <c r="F12" s="117" t="n"/>
      <c r="G12" s="117" t="n"/>
      <c r="H12" s="117" t="n"/>
      <c r="I12" s="117" t="n"/>
      <c r="J12" s="117" t="n"/>
      <c r="K12" s="117" t="n"/>
      <c r="L12" s="101">
        <f>IF(COUNTA(D12:H12)=0,"",IF(SUMPRODUCT((ISNUMBER(MATCH(IF(D12:H12&lt;&gt;"",D12:H12,0),IF(I12:K12&lt;&gt;"",I12:K12,999999),0)))*1)&gt;0,"✅ 命中","❌"))</f>
        <v/>
      </c>
      <c r="M12" s="74">
        <f>IF(L12="✅ 命中",IFERROR(INDEX(D12:H12,MATCH(1,ISNUMBER(MATCH(IF(D12:H12&lt;&gt;"",D12:H12,0),IF(I12:K12&lt;&gt;"",I12:K12,999999),0))*1,0)),""),"--")</f>
        <v/>
      </c>
      <c r="N12" s="40" t="n"/>
      <c r="O12" s="36" t="n"/>
      <c r="Q12" s="98" t="inlineStr">
        <is>
          <t>冷热库</t>
        </is>
      </c>
      <c r="R12" s="119">
        <f>IFERROR(COUNTIFS(N5:N104,"冷热库",L5:L104,"✅ 命中")/COUNTIF(N5:N104,"冷热库"),0)</f>
        <v/>
      </c>
    </row>
    <row r="13" ht="20" customHeight="1">
      <c r="A13" s="16" t="n">
        <v>9</v>
      </c>
      <c r="B13" s="114" t="n"/>
      <c r="C13" s="18" t="n"/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00">
        <f>IF(COUNTA(D13:H13)=0,"",IF(SUMPRODUCT((ISNUMBER(MATCH(IF(D13:H13&lt;&gt;"",D13:H13,0),IF(I13:K13&lt;&gt;"",I13:K13,999999),0)))*1)&gt;0,"✅ 命中","❌"))</f>
        <v/>
      </c>
      <c r="M13" s="71">
        <f>IF(L13="✅ 命中",IFERROR(INDEX(D13:H13,MATCH(1,ISNUMBER(MATCH(IF(D13:H13&lt;&gt;"",D13:H13,0),IF(I13:K13&lt;&gt;"",I13:K13,999999),0))*1,0)),""),"--")</f>
        <v/>
      </c>
      <c r="N13" s="18" t="n"/>
      <c r="O13" s="30" t="n"/>
      <c r="Q13" s="98" t="inlineStr">
        <is>
          <t>四步向导</t>
        </is>
      </c>
      <c r="R13" s="119">
        <f>IFERROR(COUNTIFS(N5:N104,"四步向导",L5:L104,"✅ 命中")/COUNTIF(N5:N104,"四步向导"),0)</f>
        <v/>
      </c>
    </row>
    <row r="14" ht="20" customHeight="1">
      <c r="A14" s="16" t="n">
        <v>10</v>
      </c>
      <c r="B14" s="116" t="n"/>
      <c r="C14" s="40" t="n"/>
      <c r="D14" s="117" t="n"/>
      <c r="E14" s="117" t="n"/>
      <c r="F14" s="117" t="n"/>
      <c r="G14" s="117" t="n"/>
      <c r="H14" s="117" t="n"/>
      <c r="I14" s="117" t="n"/>
      <c r="J14" s="117" t="n"/>
      <c r="K14" s="117" t="n"/>
      <c r="L14" s="101">
        <f>IF(COUNTA(D14:H14)=0,"",IF(SUMPRODUCT((ISNUMBER(MATCH(IF(D14:H14&lt;&gt;"",D14:H14,0),IF(I14:K14&lt;&gt;"",I14:K14,999999),0)))*1)&gt;0,"✅ 命中","❌"))</f>
        <v/>
      </c>
      <c r="M14" s="74">
        <f>IF(L14="✅ 命中",IFERROR(INDEX(D14:H14,MATCH(1,ISNUMBER(MATCH(IF(D14:H14&lt;&gt;"",D14:H14,0),IF(I14:K14&lt;&gt;"",I14:K14,999999),0))*1,0)),""),"--")</f>
        <v/>
      </c>
      <c r="N14" s="40" t="n"/>
      <c r="O14" s="36" t="n"/>
      <c r="Q14" s="98" t="inlineStr">
        <is>
          <t>工作台</t>
        </is>
      </c>
      <c r="R14" s="119">
        <f>IFERROR(COUNTIFS(N5:N104,"工作台",L5:L104,"✅ 命中")/COUNTIF(N5:N104,"工作台"),0)</f>
        <v/>
      </c>
    </row>
    <row r="15" ht="20" customHeight="1">
      <c r="A15" s="16" t="n">
        <v>11</v>
      </c>
      <c r="B15" s="114" t="n"/>
      <c r="C15" s="18" t="n"/>
      <c r="D15" s="115" t="n"/>
      <c r="E15" s="115" t="n"/>
      <c r="F15" s="115" t="n"/>
      <c r="G15" s="115" t="n"/>
      <c r="H15" s="115" t="n"/>
      <c r="I15" s="115" t="n"/>
      <c r="J15" s="115" t="n"/>
      <c r="K15" s="115" t="n"/>
      <c r="L15" s="100">
        <f>IF(COUNTA(D15:H15)=0,"",IF(SUMPRODUCT((ISNUMBER(MATCH(IF(D15:H15&lt;&gt;"",D15:H15,0),IF(I15:K15&lt;&gt;"",I15:K15,999999),0)))*1)&gt;0,"✅ 命中","❌"))</f>
        <v/>
      </c>
      <c r="M15" s="71">
        <f>IF(L15="✅ 命中",IFERROR(INDEX(D15:H15,MATCH(1,ISNUMBER(MATCH(IF(D15:H15&lt;&gt;"",D15:H15,0),IF(I15:K15&lt;&gt;"",I15:K15,999999),0))*1,0)),""),"--")</f>
        <v/>
      </c>
      <c r="N15" s="18" t="n"/>
      <c r="O15" s="30" t="n"/>
      <c r="Q15" s="98" t="inlineStr">
        <is>
          <t>点数区间</t>
        </is>
      </c>
      <c r="R15" s="119">
        <f>IFERROR(COUNTIFS(N5:N104,"点数区间",L5:L104,"✅ 命中")/COUNTIF(N5:N104,"点数区间"),0)</f>
        <v/>
      </c>
    </row>
    <row r="16" ht="20" customHeight="1">
      <c r="A16" s="16" t="n">
        <v>12</v>
      </c>
      <c r="B16" s="116" t="n"/>
      <c r="C16" s="40" t="n"/>
      <c r="D16" s="117" t="n"/>
      <c r="E16" s="117" t="n"/>
      <c r="F16" s="117" t="n"/>
      <c r="G16" s="117" t="n"/>
      <c r="H16" s="117" t="n"/>
      <c r="I16" s="117" t="n"/>
      <c r="J16" s="117" t="n"/>
      <c r="K16" s="117" t="n"/>
      <c r="L16" s="101">
        <f>IF(COUNTA(D16:H16)=0,"",IF(SUMPRODUCT((ISNUMBER(MATCH(IF(D16:H16&lt;&gt;"",D16:H16,0),IF(I16:K16&lt;&gt;"",I16:K16,999999),0)))*1)&gt;0,"✅ 命中","❌"))</f>
        <v/>
      </c>
      <c r="M16" s="74">
        <f>IF(L16="✅ 命中",IFERROR(INDEX(D16:H16,MATCH(1,ISNUMBER(MATCH(IF(D16:H16&lt;&gt;"",D16:H16,0),IF(I16:K16&lt;&gt;"",I16:K16,999999),0))*1,0)),""),"--")</f>
        <v/>
      </c>
      <c r="N16" s="40" t="n"/>
      <c r="O16" s="36" t="n"/>
      <c r="Q16" s="98" t="inlineStr">
        <is>
          <t>条件筛选</t>
        </is>
      </c>
      <c r="R16" s="119">
        <f>IFERROR(COUNTIFS(N5:N104,"条件筛选",L5:L104,"✅ 命中")/COUNTIF(N5:N104,"条件筛选"),0)</f>
        <v/>
      </c>
    </row>
    <row r="17" ht="20" customHeight="1">
      <c r="A17" s="16" t="n">
        <v>13</v>
      </c>
      <c r="B17" s="114" t="n"/>
      <c r="C17" s="18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00">
        <f>IF(COUNTA(D17:H17)=0,"",IF(SUMPRODUCT((ISNUMBER(MATCH(IF(D17:H17&lt;&gt;"",D17:H17,0),IF(I17:K17&lt;&gt;"",I17:K17,999999),0)))*1)&gt;0,"✅ 命中","❌"))</f>
        <v/>
      </c>
      <c r="M17" s="71">
        <f>IF(L17="✅ 命中",IFERROR(INDEX(D17:H17,MATCH(1,ISNUMBER(MATCH(IF(D17:H17&lt;&gt;"",D17:H17,0),IF(I17:K17&lt;&gt;"",I17:K17,999999),0))*1,0)),""),"--")</f>
        <v/>
      </c>
      <c r="N17" s="18" t="n"/>
      <c r="O17" s="30" t="n"/>
      <c r="Q17" s="98" t="inlineStr">
        <is>
          <t>人工判断</t>
        </is>
      </c>
      <c r="R17" s="119">
        <f>IFERROR(COUNTIFS(N5:N104,"人工判断",L5:L104,"✅ 命中")/COUNTIF(N5:N104,"人工判断"),0)</f>
        <v/>
      </c>
    </row>
    <row r="18" ht="20" customHeight="1">
      <c r="A18" s="16" t="n">
        <v>14</v>
      </c>
      <c r="B18" s="116" t="n"/>
      <c r="C18" s="40" t="n"/>
      <c r="D18" s="117" t="n"/>
      <c r="E18" s="117" t="n"/>
      <c r="F18" s="117" t="n"/>
      <c r="G18" s="117" t="n"/>
      <c r="H18" s="117" t="n"/>
      <c r="I18" s="117" t="n"/>
      <c r="J18" s="117" t="n"/>
      <c r="K18" s="117" t="n"/>
      <c r="L18" s="101">
        <f>IF(COUNTA(D18:H18)=0,"",IF(SUMPRODUCT((ISNUMBER(MATCH(IF(D18:H18&lt;&gt;"",D18:H18,0),IF(I18:K18&lt;&gt;"",I18:K18,999999),0)))*1)&gt;0,"✅ 命中","❌"))</f>
        <v/>
      </c>
      <c r="M18" s="74">
        <f>IF(L18="✅ 命中",IFERROR(INDEX(D18:H18,MATCH(1,ISNUMBER(MATCH(IF(D18:H18&lt;&gt;"",D18:H18,0),IF(I18:K18&lt;&gt;"",I18:K18,999999),0))*1,0)),""),"--")</f>
        <v/>
      </c>
      <c r="N18" s="40" t="n"/>
      <c r="O18" s="36" t="n"/>
      <c r="Q18" s="104" t="inlineStr"/>
      <c r="R18" s="87" t="inlineStr"/>
    </row>
    <row r="19" ht="20" customHeight="1">
      <c r="A19" s="16" t="n">
        <v>15</v>
      </c>
      <c r="B19" s="114" t="n"/>
      <c r="C19" s="18" t="n"/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00">
        <f>IF(COUNTA(D19:H19)=0,"",IF(SUMPRODUCT((ISNUMBER(MATCH(IF(D19:H19&lt;&gt;"",D19:H19,0),IF(I19:K19&lt;&gt;"",I19:K19,999999),0)))*1)&gt;0,"✅ 命中","❌"))</f>
        <v/>
      </c>
      <c r="M19" s="71">
        <f>IF(L19="✅ 命中",IFERROR(INDEX(D19:H19,MATCH(1,ISNUMBER(MATCH(IF(D19:H19&lt;&gt;"",D19:H19,0),IF(I19:K19&lt;&gt;"",I19:K19,999999),0))*1,0)),""),"--")</f>
        <v/>
      </c>
      <c r="N19" s="18" t="n"/>
      <c r="O19" s="30" t="n"/>
      <c r="Q19" s="105" t="inlineStr">
        <is>
          <t>─ 按市场 ─</t>
        </is>
      </c>
      <c r="R19" s="87" t="inlineStr"/>
    </row>
    <row r="20" ht="20" customHeight="1">
      <c r="A20" s="16" t="n">
        <v>16</v>
      </c>
      <c r="B20" s="116" t="n"/>
      <c r="C20" s="40" t="n"/>
      <c r="D20" s="117" t="n"/>
      <c r="E20" s="117" t="n"/>
      <c r="F20" s="117" t="n"/>
      <c r="G20" s="117" t="n"/>
      <c r="H20" s="117" t="n"/>
      <c r="I20" s="117" t="n"/>
      <c r="J20" s="117" t="n"/>
      <c r="K20" s="117" t="n"/>
      <c r="L20" s="101">
        <f>IF(COUNTA(D20:H20)=0,"",IF(SUMPRODUCT((ISNUMBER(MATCH(IF(D20:H20&lt;&gt;"",D20:H20,0),IF(I20:K20&lt;&gt;"",I20:K20,999999),0)))*1)&gt;0,"✅ 命中","❌"))</f>
        <v/>
      </c>
      <c r="M20" s="74">
        <f>IF(L20="✅ 命中",IFERROR(INDEX(D20:H20,MATCH(1,ISNUMBER(MATCH(IF(D20:H20&lt;&gt;"",D20:H20,0),IF(I20:K20&lt;&gt;"",I20:K20,999999),0))*1,0)),""),"--")</f>
        <v/>
      </c>
      <c r="N20" s="40" t="n"/>
      <c r="O20" s="36" t="n"/>
      <c r="Q20" s="98" t="inlineStr">
        <is>
          <t>万能</t>
        </is>
      </c>
      <c r="R20" s="119">
        <f>IFERROR(COUNTIFS(C5:C104,"万能",L5:L104,"✅ 命中")/COUNTIF(C5:C104,"万能"),0)</f>
        <v/>
      </c>
    </row>
    <row r="21" ht="20" customHeight="1">
      <c r="A21" s="16" t="n">
        <v>17</v>
      </c>
      <c r="B21" s="114" t="n"/>
      <c r="C21" s="18" t="n"/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00">
        <f>IF(COUNTA(D21:H21)=0,"",IF(SUMPRODUCT((ISNUMBER(MATCH(IF(D21:H21&lt;&gt;"",D21:H21,0),IF(I21:K21&lt;&gt;"",I21:K21,999999),0)))*1)&gt;0,"✅ 命中","❌"))</f>
        <v/>
      </c>
      <c r="M21" s="71">
        <f>IF(L21="✅ 命中",IFERROR(INDEX(D21:H21,MATCH(1,ISNUMBER(MATCH(IF(D21:H21&lt;&gt;"",D21:H21,0),IF(I21:K21&lt;&gt;"",I21:K21,999999),0))*1,0)),""),"--")</f>
        <v/>
      </c>
      <c r="N21" s="18" t="n"/>
      <c r="O21" s="30" t="n"/>
      <c r="Q21" s="98" t="inlineStr">
        <is>
          <t>跑马</t>
        </is>
      </c>
      <c r="R21" s="119">
        <f>IFERROR(COUNTIFS(C5:C104,"跑马",L5:L104,"✅ 命中")/COUNTIF(C5:C104,"跑马"),0)</f>
        <v/>
      </c>
    </row>
    <row r="22" ht="20" customHeight="1">
      <c r="A22" s="16" t="n">
        <v>18</v>
      </c>
      <c r="B22" s="116" t="n"/>
      <c r="C22" s="40" t="n"/>
      <c r="D22" s="117" t="n"/>
      <c r="E22" s="117" t="n"/>
      <c r="F22" s="117" t="n"/>
      <c r="G22" s="117" t="n"/>
      <c r="H22" s="117" t="n"/>
      <c r="I22" s="117" t="n"/>
      <c r="J22" s="117" t="n"/>
      <c r="K22" s="117" t="n"/>
      <c r="L22" s="101">
        <f>IF(COUNTA(D22:H22)=0,"",IF(SUMPRODUCT((ISNUMBER(MATCH(IF(D22:H22&lt;&gt;"",D22:H22,0),IF(I22:K22&lt;&gt;"",I22:K22,999999),0)))*1)&gt;0,"✅ 命中","❌"))</f>
        <v/>
      </c>
      <c r="M22" s="74">
        <f>IF(L22="✅ 命中",IFERROR(INDEX(D22:H22,MATCH(1,ISNUMBER(MATCH(IF(D22:H22&lt;&gt;"",D22:H22,0),IF(I22:K22&lt;&gt;"",I22:K22,999999),0))*1,0)),""),"--")</f>
        <v/>
      </c>
      <c r="N22" s="40" t="n"/>
      <c r="O22" s="36" t="n"/>
      <c r="Q22" s="98" t="inlineStr">
        <is>
          <t>多多</t>
        </is>
      </c>
      <c r="R22" s="119">
        <f>IFERROR(COUNTIFS(C5:C104,"多多",L5:L104,"✅ 命中")/COUNTIF(C5:C104,"多多"),0)</f>
        <v/>
      </c>
    </row>
    <row r="23" ht="20" customHeight="1">
      <c r="A23" s="16" t="n">
        <v>19</v>
      </c>
      <c r="B23" s="114" t="n"/>
      <c r="C23" s="18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00">
        <f>IF(COUNTA(D23:H23)=0,"",IF(SUMPRODUCT((ISNUMBER(MATCH(IF(D23:H23&lt;&gt;"",D23:H23,0),IF(I23:K23&lt;&gt;"",I23:K23,999999),0)))*1)&gt;0,"✅ 命中","❌"))</f>
        <v/>
      </c>
      <c r="M23" s="71">
        <f>IF(L23="✅ 命中",IFERROR(INDEX(D23:H23,MATCH(1,ISNUMBER(MATCH(IF(D23:H23&lt;&gt;"",D23:H23,0),IF(I23:K23&lt;&gt;"",I23:K23,999999),0))*1,0)),""),"--")</f>
        <v/>
      </c>
      <c r="N23" s="18" t="n"/>
      <c r="O23" s="30" t="n"/>
      <c r="Q23" s="98" t="inlineStr">
        <is>
          <t>新加坡</t>
        </is>
      </c>
      <c r="R23" s="119">
        <f>IFERROR(COUNTIFS(C5:C104,"新加坡",L5:L104,"✅ 命中")/COUNTIF(C5:C104,"新加坡"),0)</f>
        <v/>
      </c>
    </row>
    <row r="24" ht="20" customHeight="1">
      <c r="A24" s="16" t="n">
        <v>20</v>
      </c>
      <c r="B24" s="116" t="n"/>
      <c r="C24" s="40" t="n"/>
      <c r="D24" s="117" t="n"/>
      <c r="E24" s="117" t="n"/>
      <c r="F24" s="117" t="n"/>
      <c r="G24" s="117" t="n"/>
      <c r="H24" s="117" t="n"/>
      <c r="I24" s="117" t="n"/>
      <c r="J24" s="117" t="n"/>
      <c r="K24" s="117" t="n"/>
      <c r="L24" s="101">
        <f>IF(COUNTA(D24:H24)=0,"",IF(SUMPRODUCT((ISNUMBER(MATCH(IF(D24:H24&lt;&gt;"",D24:H24,0),IF(I24:K24&lt;&gt;"",I24:K24,999999),0)))*1)&gt;0,"✅ 命中","❌"))</f>
        <v/>
      </c>
      <c r="M24" s="74">
        <f>IF(L24="✅ 命中",IFERROR(INDEX(D24:H24,MATCH(1,ISNUMBER(MATCH(IF(D24:H24&lt;&gt;"",D24:H24,0),IF(I24:K24&lt;&gt;"",I24:K24,999999),0))*1,0)),""),"--")</f>
        <v/>
      </c>
      <c r="N24" s="40" t="n"/>
      <c r="O24" s="36" t="n"/>
      <c r="Q24" s="98" t="inlineStr">
        <is>
          <t>豪龙</t>
        </is>
      </c>
      <c r="R24" s="119">
        <f>IFERROR(COUNTIFS(C5:C104,"豪龙",L5:L104,"✅ 命中")/COUNTIF(C5:C104,"豪龙"),0)</f>
        <v/>
      </c>
    </row>
    <row r="25" ht="18" customHeight="1">
      <c r="A25" s="16" t="n">
        <v>21</v>
      </c>
      <c r="B25" s="114" t="n"/>
      <c r="C25" s="18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00">
        <f>IF(COUNTA(D25:H25)=0,"",IF(SUMPRODUCT((ISNUMBER(MATCH(IF(D25:H25&lt;&gt;"",D25:H25,0),IF(I25:K25&lt;&gt;"",I25:K25,999999),0)))*1)&gt;0,"✅ 命中","❌"))</f>
        <v/>
      </c>
      <c r="M25" s="71">
        <f>IF(L25="✅ 命中",IFERROR(INDEX(D25:H25,MATCH(1,ISNUMBER(MATCH(IF(D25:H25&lt;&gt;"",D25:H25,0),IF(I25:K25&lt;&gt;"",I25:K25,999999),0))*1,0)),""),"--")</f>
        <v/>
      </c>
      <c r="N25" s="18" t="n"/>
      <c r="O25" s="30" t="n"/>
    </row>
    <row r="26" ht="18" customHeight="1">
      <c r="A26" s="16" t="n">
        <v>22</v>
      </c>
      <c r="B26" s="116" t="n"/>
      <c r="C26" s="40" t="n"/>
      <c r="D26" s="117" t="n"/>
      <c r="E26" s="117" t="n"/>
      <c r="F26" s="117" t="n"/>
      <c r="G26" s="117" t="n"/>
      <c r="H26" s="117" t="n"/>
      <c r="I26" s="117" t="n"/>
      <c r="J26" s="117" t="n"/>
      <c r="K26" s="117" t="n"/>
      <c r="L26" s="101">
        <f>IF(COUNTA(D26:H26)=0,"",IF(SUMPRODUCT((ISNUMBER(MATCH(IF(D26:H26&lt;&gt;"",D26:H26,0),IF(I26:K26&lt;&gt;"",I26:K26,999999),0)))*1)&gt;0,"✅ 命中","❌"))</f>
        <v/>
      </c>
      <c r="M26" s="74">
        <f>IF(L26="✅ 命中",IFERROR(INDEX(D26:H26,MATCH(1,ISNUMBER(MATCH(IF(D26:H26&lt;&gt;"",D26:H26,0),IF(I26:K26&lt;&gt;"",I26:K26,999999),0))*1,0)),""),"--")</f>
        <v/>
      </c>
      <c r="N26" s="40" t="n"/>
      <c r="O26" s="36" t="n"/>
    </row>
    <row r="27" ht="18" customHeight="1">
      <c r="A27" s="16" t="n">
        <v>23</v>
      </c>
      <c r="B27" s="114" t="n"/>
      <c r="C27" s="18" t="n"/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00">
        <f>IF(COUNTA(D27:H27)=0,"",IF(SUMPRODUCT((ISNUMBER(MATCH(IF(D27:H27&lt;&gt;"",D27:H27,0),IF(I27:K27&lt;&gt;"",I27:K27,999999),0)))*1)&gt;0,"✅ 命中","❌"))</f>
        <v/>
      </c>
      <c r="M27" s="71">
        <f>IF(L27="✅ 命中",IFERROR(INDEX(D27:H27,MATCH(1,ISNUMBER(MATCH(IF(D27:H27&lt;&gt;"",D27:H27,0),IF(I27:K27&lt;&gt;"",I27:K27,999999),0))*1,0)),""),"--")</f>
        <v/>
      </c>
      <c r="N27" s="18" t="n"/>
      <c r="O27" s="30" t="n"/>
    </row>
    <row r="28" ht="18" customHeight="1">
      <c r="A28" s="16" t="n">
        <v>24</v>
      </c>
      <c r="B28" s="116" t="n"/>
      <c r="C28" s="40" t="n"/>
      <c r="D28" s="117" t="n"/>
      <c r="E28" s="117" t="n"/>
      <c r="F28" s="117" t="n"/>
      <c r="G28" s="117" t="n"/>
      <c r="H28" s="117" t="n"/>
      <c r="I28" s="117" t="n"/>
      <c r="J28" s="117" t="n"/>
      <c r="K28" s="117" t="n"/>
      <c r="L28" s="101">
        <f>IF(COUNTA(D28:H28)=0,"",IF(SUMPRODUCT((ISNUMBER(MATCH(IF(D28:H28&lt;&gt;"",D28:H28,0),IF(I28:K28&lt;&gt;"",I28:K28,999999),0)))*1)&gt;0,"✅ 命中","❌"))</f>
        <v/>
      </c>
      <c r="M28" s="74">
        <f>IF(L28="✅ 命中",IFERROR(INDEX(D28:H28,MATCH(1,ISNUMBER(MATCH(IF(D28:H28&lt;&gt;"",D28:H28,0),IF(I28:K28&lt;&gt;"",I28:K28,999999),0))*1,0)),""),"--")</f>
        <v/>
      </c>
      <c r="N28" s="40" t="n"/>
      <c r="O28" s="36" t="n"/>
    </row>
    <row r="29" ht="18" customHeight="1">
      <c r="A29" s="16" t="n">
        <v>25</v>
      </c>
      <c r="B29" s="114" t="n"/>
      <c r="C29" s="18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00">
        <f>IF(COUNTA(D29:H29)=0,"",IF(SUMPRODUCT((ISNUMBER(MATCH(IF(D29:H29&lt;&gt;"",D29:H29,0),IF(I29:K29&lt;&gt;"",I29:K29,999999),0)))*1)&gt;0,"✅ 命中","❌"))</f>
        <v/>
      </c>
      <c r="M29" s="71">
        <f>IF(L29="✅ 命中",IFERROR(INDEX(D29:H29,MATCH(1,ISNUMBER(MATCH(IF(D29:H29&lt;&gt;"",D29:H29,0),IF(I29:K29&lt;&gt;"",I29:K29,999999),0))*1,0)),""),"--")</f>
        <v/>
      </c>
      <c r="N29" s="18" t="n"/>
      <c r="O29" s="30" t="n"/>
    </row>
    <row r="30" ht="18" customHeight="1">
      <c r="A30" s="16" t="n">
        <v>26</v>
      </c>
      <c r="B30" s="116" t="n"/>
      <c r="C30" s="40" t="n"/>
      <c r="D30" s="117" t="n"/>
      <c r="E30" s="117" t="n"/>
      <c r="F30" s="117" t="n"/>
      <c r="G30" s="117" t="n"/>
      <c r="H30" s="117" t="n"/>
      <c r="I30" s="117" t="n"/>
      <c r="J30" s="117" t="n"/>
      <c r="K30" s="117" t="n"/>
      <c r="L30" s="101">
        <f>IF(COUNTA(D30:H30)=0,"",IF(SUMPRODUCT((ISNUMBER(MATCH(IF(D30:H30&lt;&gt;"",D30:H30,0),IF(I30:K30&lt;&gt;"",I30:K30,999999),0)))*1)&gt;0,"✅ 命中","❌"))</f>
        <v/>
      </c>
      <c r="M30" s="74">
        <f>IF(L30="✅ 命中",IFERROR(INDEX(D30:H30,MATCH(1,ISNUMBER(MATCH(IF(D30:H30&lt;&gt;"",D30:H30,0),IF(I30:K30&lt;&gt;"",I30:K30,999999),0))*1,0)),""),"--")</f>
        <v/>
      </c>
      <c r="N30" s="40" t="n"/>
      <c r="O30" s="36" t="n"/>
    </row>
    <row r="31" ht="18" customHeight="1">
      <c r="A31" s="16" t="n">
        <v>27</v>
      </c>
      <c r="B31" s="114" t="n"/>
      <c r="C31" s="18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00">
        <f>IF(COUNTA(D31:H31)=0,"",IF(SUMPRODUCT((ISNUMBER(MATCH(IF(D31:H31&lt;&gt;"",D31:H31,0),IF(I31:K31&lt;&gt;"",I31:K31,999999),0)))*1)&gt;0,"✅ 命中","❌"))</f>
        <v/>
      </c>
      <c r="M31" s="71">
        <f>IF(L31="✅ 命中",IFERROR(INDEX(D31:H31,MATCH(1,ISNUMBER(MATCH(IF(D31:H31&lt;&gt;"",D31:H31,0),IF(I31:K31&lt;&gt;"",I31:K31,999999),0))*1,0)),""),"--")</f>
        <v/>
      </c>
      <c r="N31" s="18" t="n"/>
      <c r="O31" s="30" t="n"/>
    </row>
    <row r="32" ht="18" customHeight="1">
      <c r="A32" s="16" t="n">
        <v>28</v>
      </c>
      <c r="B32" s="116" t="n"/>
      <c r="C32" s="40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01">
        <f>IF(COUNTA(D32:H32)=0,"",IF(SUMPRODUCT((ISNUMBER(MATCH(IF(D32:H32&lt;&gt;"",D32:H32,0),IF(I32:K32&lt;&gt;"",I32:K32,999999),0)))*1)&gt;0,"✅ 命中","❌"))</f>
        <v/>
      </c>
      <c r="M32" s="74">
        <f>IF(L32="✅ 命中",IFERROR(INDEX(D32:H32,MATCH(1,ISNUMBER(MATCH(IF(D32:H32&lt;&gt;"",D32:H32,0),IF(I32:K32&lt;&gt;"",I32:K32,999999),0))*1,0)),""),"--")</f>
        <v/>
      </c>
      <c r="N32" s="40" t="n"/>
      <c r="O32" s="36" t="n"/>
    </row>
    <row r="33" ht="18" customHeight="1">
      <c r="A33" s="16" t="n">
        <v>29</v>
      </c>
      <c r="B33" s="114" t="n"/>
      <c r="C33" s="18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00">
        <f>IF(COUNTA(D33:H33)=0,"",IF(SUMPRODUCT((ISNUMBER(MATCH(IF(D33:H33&lt;&gt;"",D33:H33,0),IF(I33:K33&lt;&gt;"",I33:K33,999999),0)))*1)&gt;0,"✅ 命中","❌"))</f>
        <v/>
      </c>
      <c r="M33" s="71">
        <f>IF(L33="✅ 命中",IFERROR(INDEX(D33:H33,MATCH(1,ISNUMBER(MATCH(IF(D33:H33&lt;&gt;"",D33:H33,0),IF(I33:K33&lt;&gt;"",I33:K33,999999),0))*1,0)),""),"--")</f>
        <v/>
      </c>
      <c r="N33" s="18" t="n"/>
      <c r="O33" s="30" t="n"/>
    </row>
    <row r="34" ht="18" customHeight="1">
      <c r="A34" s="16" t="n">
        <v>30</v>
      </c>
      <c r="B34" s="116" t="n"/>
      <c r="C34" s="40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01">
        <f>IF(COUNTA(D34:H34)=0,"",IF(SUMPRODUCT((ISNUMBER(MATCH(IF(D34:H34&lt;&gt;"",D34:H34,0),IF(I34:K34&lt;&gt;"",I34:K34,999999),0)))*1)&gt;0,"✅ 命中","❌"))</f>
        <v/>
      </c>
      <c r="M34" s="74">
        <f>IF(L34="✅ 命中",IFERROR(INDEX(D34:H34,MATCH(1,ISNUMBER(MATCH(IF(D34:H34&lt;&gt;"",D34:H34,0),IF(I34:K34&lt;&gt;"",I34:K34,999999),0))*1,0)),""),"--")</f>
        <v/>
      </c>
      <c r="N34" s="40" t="n"/>
      <c r="O34" s="36" t="n"/>
    </row>
    <row r="35" ht="18" customHeight="1">
      <c r="A35" s="16" t="n">
        <v>31</v>
      </c>
      <c r="B35" s="114" t="n"/>
      <c r="C35" s="18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00">
        <f>IF(COUNTA(D35:H35)=0,"",IF(SUMPRODUCT((ISNUMBER(MATCH(IF(D35:H35&lt;&gt;"",D35:H35,0),IF(I35:K35&lt;&gt;"",I35:K35,999999),0)))*1)&gt;0,"✅ 命中","❌"))</f>
        <v/>
      </c>
      <c r="M35" s="71">
        <f>IF(L35="✅ 命中",IFERROR(INDEX(D35:H35,MATCH(1,ISNUMBER(MATCH(IF(D35:H35&lt;&gt;"",D35:H35,0),IF(I35:K35&lt;&gt;"",I35:K35,999999),0))*1,0)),""),"--")</f>
        <v/>
      </c>
      <c r="N35" s="18" t="n"/>
      <c r="O35" s="30" t="n"/>
    </row>
    <row r="36" ht="18" customHeight="1">
      <c r="A36" s="16" t="n">
        <v>32</v>
      </c>
      <c r="B36" s="116" t="n"/>
      <c r="C36" s="40" t="n"/>
      <c r="D36" s="117" t="n"/>
      <c r="E36" s="117" t="n"/>
      <c r="F36" s="117" t="n"/>
      <c r="G36" s="117" t="n"/>
      <c r="H36" s="117" t="n"/>
      <c r="I36" s="117" t="n"/>
      <c r="J36" s="117" t="n"/>
      <c r="K36" s="117" t="n"/>
      <c r="L36" s="101">
        <f>IF(COUNTA(D36:H36)=0,"",IF(SUMPRODUCT((ISNUMBER(MATCH(IF(D36:H36&lt;&gt;"",D36:H36,0),IF(I36:K36&lt;&gt;"",I36:K36,999999),0)))*1)&gt;0,"✅ 命中","❌"))</f>
        <v/>
      </c>
      <c r="M36" s="74">
        <f>IF(L36="✅ 命中",IFERROR(INDEX(D36:H36,MATCH(1,ISNUMBER(MATCH(IF(D36:H36&lt;&gt;"",D36:H36,0),IF(I36:K36&lt;&gt;"",I36:K36,999999),0))*1,0)),""),"--")</f>
        <v/>
      </c>
      <c r="N36" s="40" t="n"/>
      <c r="O36" s="36" t="n"/>
    </row>
    <row r="37" ht="18" customHeight="1">
      <c r="A37" s="16" t="n">
        <v>33</v>
      </c>
      <c r="B37" s="114" t="n"/>
      <c r="C37" s="18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00">
        <f>IF(COUNTA(D37:H37)=0,"",IF(SUMPRODUCT((ISNUMBER(MATCH(IF(D37:H37&lt;&gt;"",D37:H37,0),IF(I37:K37&lt;&gt;"",I37:K37,999999),0)))*1)&gt;0,"✅ 命中","❌"))</f>
        <v/>
      </c>
      <c r="M37" s="71">
        <f>IF(L37="✅ 命中",IFERROR(INDEX(D37:H37,MATCH(1,ISNUMBER(MATCH(IF(D37:H37&lt;&gt;"",D37:H37,0),IF(I37:K37&lt;&gt;"",I37:K37,999999),0))*1,0)),""),"--")</f>
        <v/>
      </c>
      <c r="N37" s="18" t="n"/>
      <c r="O37" s="30" t="n"/>
    </row>
    <row r="38" ht="18" customHeight="1">
      <c r="A38" s="16" t="n">
        <v>34</v>
      </c>
      <c r="B38" s="116" t="n"/>
      <c r="C38" s="40" t="n"/>
      <c r="D38" s="117" t="n"/>
      <c r="E38" s="117" t="n"/>
      <c r="F38" s="117" t="n"/>
      <c r="G38" s="117" t="n"/>
      <c r="H38" s="117" t="n"/>
      <c r="I38" s="117" t="n"/>
      <c r="J38" s="117" t="n"/>
      <c r="K38" s="117" t="n"/>
      <c r="L38" s="101">
        <f>IF(COUNTA(D38:H38)=0,"",IF(SUMPRODUCT((ISNUMBER(MATCH(IF(D38:H38&lt;&gt;"",D38:H38,0),IF(I38:K38&lt;&gt;"",I38:K38,999999),0)))*1)&gt;0,"✅ 命中","❌"))</f>
        <v/>
      </c>
      <c r="M38" s="74">
        <f>IF(L38="✅ 命中",IFERROR(INDEX(D38:H38,MATCH(1,ISNUMBER(MATCH(IF(D38:H38&lt;&gt;"",D38:H38,0),IF(I38:K38&lt;&gt;"",I38:K38,999999),0))*1,0)),""),"--")</f>
        <v/>
      </c>
      <c r="N38" s="40" t="n"/>
      <c r="O38" s="36" t="n"/>
    </row>
    <row r="39" ht="18" customHeight="1">
      <c r="A39" s="16" t="n">
        <v>35</v>
      </c>
      <c r="B39" s="114" t="n"/>
      <c r="C39" s="18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00">
        <f>IF(COUNTA(D39:H39)=0,"",IF(SUMPRODUCT((ISNUMBER(MATCH(IF(D39:H39&lt;&gt;"",D39:H39,0),IF(I39:K39&lt;&gt;"",I39:K39,999999),0)))*1)&gt;0,"✅ 命中","❌"))</f>
        <v/>
      </c>
      <c r="M39" s="71">
        <f>IF(L39="✅ 命中",IFERROR(INDEX(D39:H39,MATCH(1,ISNUMBER(MATCH(IF(D39:H39&lt;&gt;"",D39:H39,0),IF(I39:K39&lt;&gt;"",I39:K39,999999),0))*1,0)),""),"--")</f>
        <v/>
      </c>
      <c r="N39" s="18" t="n"/>
      <c r="O39" s="30" t="n"/>
    </row>
    <row r="40" ht="18" customHeight="1">
      <c r="A40" s="16" t="n">
        <v>36</v>
      </c>
      <c r="B40" s="116" t="n"/>
      <c r="C40" s="40" t="n"/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01">
        <f>IF(COUNTA(D40:H40)=0,"",IF(SUMPRODUCT((ISNUMBER(MATCH(IF(D40:H40&lt;&gt;"",D40:H40,0),IF(I40:K40&lt;&gt;"",I40:K40,999999),0)))*1)&gt;0,"✅ 命中","❌"))</f>
        <v/>
      </c>
      <c r="M40" s="74">
        <f>IF(L40="✅ 命中",IFERROR(INDEX(D40:H40,MATCH(1,ISNUMBER(MATCH(IF(D40:H40&lt;&gt;"",D40:H40,0),IF(I40:K40&lt;&gt;"",I40:K40,999999),0))*1,0)),""),"--")</f>
        <v/>
      </c>
      <c r="N40" s="40" t="n"/>
      <c r="O40" s="36" t="n"/>
    </row>
    <row r="41" ht="18" customHeight="1">
      <c r="A41" s="16" t="n">
        <v>37</v>
      </c>
      <c r="B41" s="114" t="n"/>
      <c r="C41" s="18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00">
        <f>IF(COUNTA(D41:H41)=0,"",IF(SUMPRODUCT((ISNUMBER(MATCH(IF(D41:H41&lt;&gt;"",D41:H41,0),IF(I41:K41&lt;&gt;"",I41:K41,999999),0)))*1)&gt;0,"✅ 命中","❌"))</f>
        <v/>
      </c>
      <c r="M41" s="71">
        <f>IF(L41="✅ 命中",IFERROR(INDEX(D41:H41,MATCH(1,ISNUMBER(MATCH(IF(D41:H41&lt;&gt;"",D41:H41,0),IF(I41:K41&lt;&gt;"",I41:K41,999999),0))*1,0)),""),"--")</f>
        <v/>
      </c>
      <c r="N41" s="18" t="n"/>
      <c r="O41" s="30" t="n"/>
    </row>
    <row r="42" ht="18" customHeight="1">
      <c r="A42" s="16" t="n">
        <v>38</v>
      </c>
      <c r="B42" s="116" t="n"/>
      <c r="C42" s="40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01">
        <f>IF(COUNTA(D42:H42)=0,"",IF(SUMPRODUCT((ISNUMBER(MATCH(IF(D42:H42&lt;&gt;"",D42:H42,0),IF(I42:K42&lt;&gt;"",I42:K42,999999),0)))*1)&gt;0,"✅ 命中","❌"))</f>
        <v/>
      </c>
      <c r="M42" s="74">
        <f>IF(L42="✅ 命中",IFERROR(INDEX(D42:H42,MATCH(1,ISNUMBER(MATCH(IF(D42:H42&lt;&gt;"",D42:H42,0),IF(I42:K42&lt;&gt;"",I42:K42,999999),0))*1,0)),""),"--")</f>
        <v/>
      </c>
      <c r="N42" s="40" t="n"/>
      <c r="O42" s="36" t="n"/>
    </row>
    <row r="43" ht="18" customHeight="1">
      <c r="A43" s="16" t="n">
        <v>39</v>
      </c>
      <c r="B43" s="114" t="n"/>
      <c r="C43" s="18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00">
        <f>IF(COUNTA(D43:H43)=0,"",IF(SUMPRODUCT((ISNUMBER(MATCH(IF(D43:H43&lt;&gt;"",D43:H43,0),IF(I43:K43&lt;&gt;"",I43:K43,999999),0)))*1)&gt;0,"✅ 命中","❌"))</f>
        <v/>
      </c>
      <c r="M43" s="71">
        <f>IF(L43="✅ 命中",IFERROR(INDEX(D43:H43,MATCH(1,ISNUMBER(MATCH(IF(D43:H43&lt;&gt;"",D43:H43,0),IF(I43:K43&lt;&gt;"",I43:K43,999999),0))*1,0)),""),"--")</f>
        <v/>
      </c>
      <c r="N43" s="18" t="n"/>
      <c r="O43" s="30" t="n"/>
    </row>
    <row r="44" ht="18" customHeight="1">
      <c r="A44" s="16" t="n">
        <v>40</v>
      </c>
      <c r="B44" s="116" t="n"/>
      <c r="C44" s="40" t="n"/>
      <c r="D44" s="117" t="n"/>
      <c r="E44" s="117" t="n"/>
      <c r="F44" s="117" t="n"/>
      <c r="G44" s="117" t="n"/>
      <c r="H44" s="117" t="n"/>
      <c r="I44" s="117" t="n"/>
      <c r="J44" s="117" t="n"/>
      <c r="K44" s="117" t="n"/>
      <c r="L44" s="101">
        <f>IF(COUNTA(D44:H44)=0,"",IF(SUMPRODUCT((ISNUMBER(MATCH(IF(D44:H44&lt;&gt;"",D44:H44,0),IF(I44:K44&lt;&gt;"",I44:K44,999999),0)))*1)&gt;0,"✅ 命中","❌"))</f>
        <v/>
      </c>
      <c r="M44" s="74">
        <f>IF(L44="✅ 命中",IFERROR(INDEX(D44:H44,MATCH(1,ISNUMBER(MATCH(IF(D44:H44&lt;&gt;"",D44:H44,0),IF(I44:K44&lt;&gt;"",I44:K44,999999),0))*1,0)),""),"--")</f>
        <v/>
      </c>
      <c r="N44" s="40" t="n"/>
      <c r="O44" s="36" t="n"/>
    </row>
    <row r="45" ht="18" customHeight="1">
      <c r="A45" s="16" t="n">
        <v>41</v>
      </c>
      <c r="B45" s="114" t="n"/>
      <c r="C45" s="18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00">
        <f>IF(COUNTA(D45:H45)=0,"",IF(SUMPRODUCT((ISNUMBER(MATCH(IF(D45:H45&lt;&gt;"",D45:H45,0),IF(I45:K45&lt;&gt;"",I45:K45,999999),0)))*1)&gt;0,"✅ 命中","❌"))</f>
        <v/>
      </c>
      <c r="M45" s="71">
        <f>IF(L45="✅ 命中",IFERROR(INDEX(D45:H45,MATCH(1,ISNUMBER(MATCH(IF(D45:H45&lt;&gt;"",D45:H45,0),IF(I45:K45&lt;&gt;"",I45:K45,999999),0))*1,0)),""),"--")</f>
        <v/>
      </c>
      <c r="N45" s="18" t="n"/>
      <c r="O45" s="30" t="n"/>
    </row>
    <row r="46" ht="18" customHeight="1">
      <c r="A46" s="16" t="n">
        <v>42</v>
      </c>
      <c r="B46" s="116" t="n"/>
      <c r="C46" s="40" t="n"/>
      <c r="D46" s="117" t="n"/>
      <c r="E46" s="117" t="n"/>
      <c r="F46" s="117" t="n"/>
      <c r="G46" s="117" t="n"/>
      <c r="H46" s="117" t="n"/>
      <c r="I46" s="117" t="n"/>
      <c r="J46" s="117" t="n"/>
      <c r="K46" s="117" t="n"/>
      <c r="L46" s="101">
        <f>IF(COUNTA(D46:H46)=0,"",IF(SUMPRODUCT((ISNUMBER(MATCH(IF(D46:H46&lt;&gt;"",D46:H46,0),IF(I46:K46&lt;&gt;"",I46:K46,999999),0)))*1)&gt;0,"✅ 命中","❌"))</f>
        <v/>
      </c>
      <c r="M46" s="74">
        <f>IF(L46="✅ 命中",IFERROR(INDEX(D46:H46,MATCH(1,ISNUMBER(MATCH(IF(D46:H46&lt;&gt;"",D46:H46,0),IF(I46:K46&lt;&gt;"",I46:K46,999999),0))*1,0)),""),"--")</f>
        <v/>
      </c>
      <c r="N46" s="40" t="n"/>
      <c r="O46" s="36" t="n"/>
    </row>
    <row r="47" ht="18" customHeight="1">
      <c r="A47" s="16" t="n">
        <v>43</v>
      </c>
      <c r="B47" s="114" t="n"/>
      <c r="C47" s="18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00">
        <f>IF(COUNTA(D47:H47)=0,"",IF(SUMPRODUCT((ISNUMBER(MATCH(IF(D47:H47&lt;&gt;"",D47:H47,0),IF(I47:K47&lt;&gt;"",I47:K47,999999),0)))*1)&gt;0,"✅ 命中","❌"))</f>
        <v/>
      </c>
      <c r="M47" s="71">
        <f>IF(L47="✅ 命中",IFERROR(INDEX(D47:H47,MATCH(1,ISNUMBER(MATCH(IF(D47:H47&lt;&gt;"",D47:H47,0),IF(I47:K47&lt;&gt;"",I47:K47,999999),0))*1,0)),""),"--")</f>
        <v/>
      </c>
      <c r="N47" s="18" t="n"/>
      <c r="O47" s="30" t="n"/>
    </row>
    <row r="48" ht="18" customHeight="1">
      <c r="A48" s="16" t="n">
        <v>44</v>
      </c>
      <c r="B48" s="116" t="n"/>
      <c r="C48" s="40" t="n"/>
      <c r="D48" s="117" t="n"/>
      <c r="E48" s="117" t="n"/>
      <c r="F48" s="117" t="n"/>
      <c r="G48" s="117" t="n"/>
      <c r="H48" s="117" t="n"/>
      <c r="I48" s="117" t="n"/>
      <c r="J48" s="117" t="n"/>
      <c r="K48" s="117" t="n"/>
      <c r="L48" s="101">
        <f>IF(COUNTA(D48:H48)=0,"",IF(SUMPRODUCT((ISNUMBER(MATCH(IF(D48:H48&lt;&gt;"",D48:H48,0),IF(I48:K48&lt;&gt;"",I48:K48,999999),0)))*1)&gt;0,"✅ 命中","❌"))</f>
        <v/>
      </c>
      <c r="M48" s="74">
        <f>IF(L48="✅ 命中",IFERROR(INDEX(D48:H48,MATCH(1,ISNUMBER(MATCH(IF(D48:H48&lt;&gt;"",D48:H48,0),IF(I48:K48&lt;&gt;"",I48:K48,999999),0))*1,0)),""),"--")</f>
        <v/>
      </c>
      <c r="N48" s="40" t="n"/>
      <c r="O48" s="36" t="n"/>
    </row>
    <row r="49" ht="18" customHeight="1">
      <c r="A49" s="16" t="n">
        <v>45</v>
      </c>
      <c r="B49" s="114" t="n"/>
      <c r="C49" s="18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00">
        <f>IF(COUNTA(D49:H49)=0,"",IF(SUMPRODUCT((ISNUMBER(MATCH(IF(D49:H49&lt;&gt;"",D49:H49,0),IF(I49:K49&lt;&gt;"",I49:K49,999999),0)))*1)&gt;0,"✅ 命中","❌"))</f>
        <v/>
      </c>
      <c r="M49" s="71">
        <f>IF(L49="✅ 命中",IFERROR(INDEX(D49:H49,MATCH(1,ISNUMBER(MATCH(IF(D49:H49&lt;&gt;"",D49:H49,0),IF(I49:K49&lt;&gt;"",I49:K49,999999),0))*1,0)),""),"--")</f>
        <v/>
      </c>
      <c r="N49" s="18" t="n"/>
      <c r="O49" s="30" t="n"/>
    </row>
    <row r="50" ht="18" customHeight="1">
      <c r="A50" s="16" t="n">
        <v>46</v>
      </c>
      <c r="B50" s="116" t="n"/>
      <c r="C50" s="40" t="n"/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01">
        <f>IF(COUNTA(D50:H50)=0,"",IF(SUMPRODUCT((ISNUMBER(MATCH(IF(D50:H50&lt;&gt;"",D50:H50,0),IF(I50:K50&lt;&gt;"",I50:K50,999999),0)))*1)&gt;0,"✅ 命中","❌"))</f>
        <v/>
      </c>
      <c r="M50" s="74">
        <f>IF(L50="✅ 命中",IFERROR(INDEX(D50:H50,MATCH(1,ISNUMBER(MATCH(IF(D50:H50&lt;&gt;"",D50:H50,0),IF(I50:K50&lt;&gt;"",I50:K50,999999),0))*1,0)),""),"--")</f>
        <v/>
      </c>
      <c r="N50" s="40" t="n"/>
      <c r="O50" s="36" t="n"/>
    </row>
    <row r="51" ht="18" customHeight="1">
      <c r="A51" s="16" t="n">
        <v>47</v>
      </c>
      <c r="B51" s="114" t="n"/>
      <c r="C51" s="18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00">
        <f>IF(COUNTA(D51:H51)=0,"",IF(SUMPRODUCT((ISNUMBER(MATCH(IF(D51:H51&lt;&gt;"",D51:H51,0),IF(I51:K51&lt;&gt;"",I51:K51,999999),0)))*1)&gt;0,"✅ 命中","❌"))</f>
        <v/>
      </c>
      <c r="M51" s="71">
        <f>IF(L51="✅ 命中",IFERROR(INDEX(D51:H51,MATCH(1,ISNUMBER(MATCH(IF(D51:H51&lt;&gt;"",D51:H51,0),IF(I51:K51&lt;&gt;"",I51:K51,999999),0))*1,0)),""),"--")</f>
        <v/>
      </c>
      <c r="N51" s="18" t="n"/>
      <c r="O51" s="30" t="n"/>
    </row>
    <row r="52" ht="18" customHeight="1">
      <c r="A52" s="16" t="n">
        <v>48</v>
      </c>
      <c r="B52" s="116" t="n"/>
      <c r="C52" s="40" t="n"/>
      <c r="D52" s="117" t="n"/>
      <c r="E52" s="117" t="n"/>
      <c r="F52" s="117" t="n"/>
      <c r="G52" s="117" t="n"/>
      <c r="H52" s="117" t="n"/>
      <c r="I52" s="117" t="n"/>
      <c r="J52" s="117" t="n"/>
      <c r="K52" s="117" t="n"/>
      <c r="L52" s="101">
        <f>IF(COUNTA(D52:H52)=0,"",IF(SUMPRODUCT((ISNUMBER(MATCH(IF(D52:H52&lt;&gt;"",D52:H52,0),IF(I52:K52&lt;&gt;"",I52:K52,999999),0)))*1)&gt;0,"✅ 命中","❌"))</f>
        <v/>
      </c>
      <c r="M52" s="74">
        <f>IF(L52="✅ 命中",IFERROR(INDEX(D52:H52,MATCH(1,ISNUMBER(MATCH(IF(D52:H52&lt;&gt;"",D52:H52,0),IF(I52:K52&lt;&gt;"",I52:K52,999999),0))*1,0)),""),"--")</f>
        <v/>
      </c>
      <c r="N52" s="40" t="n"/>
      <c r="O52" s="36" t="n"/>
    </row>
    <row r="53" ht="18" customHeight="1">
      <c r="A53" s="16" t="n">
        <v>49</v>
      </c>
      <c r="B53" s="114" t="n"/>
      <c r="C53" s="18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00">
        <f>IF(COUNTA(D53:H53)=0,"",IF(SUMPRODUCT((ISNUMBER(MATCH(IF(D53:H53&lt;&gt;"",D53:H53,0),IF(I53:K53&lt;&gt;"",I53:K53,999999),0)))*1)&gt;0,"✅ 命中","❌"))</f>
        <v/>
      </c>
      <c r="M53" s="71">
        <f>IF(L53="✅ 命中",IFERROR(INDEX(D53:H53,MATCH(1,ISNUMBER(MATCH(IF(D53:H53&lt;&gt;"",D53:H53,0),IF(I53:K53&lt;&gt;"",I53:K53,999999),0))*1,0)),""),"--")</f>
        <v/>
      </c>
      <c r="N53" s="18" t="n"/>
      <c r="O53" s="30" t="n"/>
    </row>
    <row r="54" ht="18" customHeight="1">
      <c r="A54" s="16" t="n">
        <v>50</v>
      </c>
      <c r="B54" s="116" t="n"/>
      <c r="C54" s="40" t="n"/>
      <c r="D54" s="117" t="n"/>
      <c r="E54" s="117" t="n"/>
      <c r="F54" s="117" t="n"/>
      <c r="G54" s="117" t="n"/>
      <c r="H54" s="117" t="n"/>
      <c r="I54" s="117" t="n"/>
      <c r="J54" s="117" t="n"/>
      <c r="K54" s="117" t="n"/>
      <c r="L54" s="101">
        <f>IF(COUNTA(D54:H54)=0,"",IF(SUMPRODUCT((ISNUMBER(MATCH(IF(D54:H54&lt;&gt;"",D54:H54,0),IF(I54:K54&lt;&gt;"",I54:K54,999999),0)))*1)&gt;0,"✅ 命中","❌"))</f>
        <v/>
      </c>
      <c r="M54" s="74">
        <f>IF(L54="✅ 命中",IFERROR(INDEX(D54:H54,MATCH(1,ISNUMBER(MATCH(IF(D54:H54&lt;&gt;"",D54:H54,0),IF(I54:K54&lt;&gt;"",I54:K54,999999),0))*1,0)),""),"--")</f>
        <v/>
      </c>
      <c r="N54" s="40" t="n"/>
      <c r="O54" s="36" t="n"/>
    </row>
    <row r="55" ht="18" customHeight="1">
      <c r="A55" s="16" t="n">
        <v>51</v>
      </c>
      <c r="B55" s="114" t="n"/>
      <c r="C55" s="18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00">
        <f>IF(COUNTA(D55:H55)=0,"",IF(SUMPRODUCT((ISNUMBER(MATCH(IF(D55:H55&lt;&gt;"",D55:H55,0),IF(I55:K55&lt;&gt;"",I55:K55,999999),0)))*1)&gt;0,"✅ 命中","❌"))</f>
        <v/>
      </c>
      <c r="M55" s="71">
        <f>IF(L55="✅ 命中",IFERROR(INDEX(D55:H55,MATCH(1,ISNUMBER(MATCH(IF(D55:H55&lt;&gt;"",D55:H55,0),IF(I55:K55&lt;&gt;"",I55:K55,999999),0))*1,0)),""),"--")</f>
        <v/>
      </c>
      <c r="N55" s="18" t="n"/>
      <c r="O55" s="30" t="n"/>
    </row>
    <row r="56" ht="18" customHeight="1">
      <c r="A56" s="16" t="n">
        <v>52</v>
      </c>
      <c r="B56" s="116" t="n"/>
      <c r="C56" s="40" t="n"/>
      <c r="D56" s="117" t="n"/>
      <c r="E56" s="117" t="n"/>
      <c r="F56" s="117" t="n"/>
      <c r="G56" s="117" t="n"/>
      <c r="H56" s="117" t="n"/>
      <c r="I56" s="117" t="n"/>
      <c r="J56" s="117" t="n"/>
      <c r="K56" s="117" t="n"/>
      <c r="L56" s="101">
        <f>IF(COUNTA(D56:H56)=0,"",IF(SUMPRODUCT((ISNUMBER(MATCH(IF(D56:H56&lt;&gt;"",D56:H56,0),IF(I56:K56&lt;&gt;"",I56:K56,999999),0)))*1)&gt;0,"✅ 命中","❌"))</f>
        <v/>
      </c>
      <c r="M56" s="74">
        <f>IF(L56="✅ 命中",IFERROR(INDEX(D56:H56,MATCH(1,ISNUMBER(MATCH(IF(D56:H56&lt;&gt;"",D56:H56,0),IF(I56:K56&lt;&gt;"",I56:K56,999999),0))*1,0)),""),"--")</f>
        <v/>
      </c>
      <c r="N56" s="40" t="n"/>
      <c r="O56" s="36" t="n"/>
    </row>
    <row r="57" ht="18" customHeight="1">
      <c r="A57" s="16" t="n">
        <v>53</v>
      </c>
      <c r="B57" s="114" t="n"/>
      <c r="C57" s="18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00">
        <f>IF(COUNTA(D57:H57)=0,"",IF(SUMPRODUCT((ISNUMBER(MATCH(IF(D57:H57&lt;&gt;"",D57:H57,0),IF(I57:K57&lt;&gt;"",I57:K57,999999),0)))*1)&gt;0,"✅ 命中","❌"))</f>
        <v/>
      </c>
      <c r="M57" s="71">
        <f>IF(L57="✅ 命中",IFERROR(INDEX(D57:H57,MATCH(1,ISNUMBER(MATCH(IF(D57:H57&lt;&gt;"",D57:H57,0),IF(I57:K57&lt;&gt;"",I57:K57,999999),0))*1,0)),""),"--")</f>
        <v/>
      </c>
      <c r="N57" s="18" t="n"/>
      <c r="O57" s="30" t="n"/>
    </row>
    <row r="58" ht="18" customHeight="1">
      <c r="A58" s="16" t="n">
        <v>54</v>
      </c>
      <c r="B58" s="116" t="n"/>
      <c r="C58" s="40" t="n"/>
      <c r="D58" s="117" t="n"/>
      <c r="E58" s="117" t="n"/>
      <c r="F58" s="117" t="n"/>
      <c r="G58" s="117" t="n"/>
      <c r="H58" s="117" t="n"/>
      <c r="I58" s="117" t="n"/>
      <c r="J58" s="117" t="n"/>
      <c r="K58" s="117" t="n"/>
      <c r="L58" s="101">
        <f>IF(COUNTA(D58:H58)=0,"",IF(SUMPRODUCT((ISNUMBER(MATCH(IF(D58:H58&lt;&gt;"",D58:H58,0),IF(I58:K58&lt;&gt;"",I58:K58,999999),0)))*1)&gt;0,"✅ 命中","❌"))</f>
        <v/>
      </c>
      <c r="M58" s="74">
        <f>IF(L58="✅ 命中",IFERROR(INDEX(D58:H58,MATCH(1,ISNUMBER(MATCH(IF(D58:H58&lt;&gt;"",D58:H58,0),IF(I58:K58&lt;&gt;"",I58:K58,999999),0))*1,0)),""),"--")</f>
        <v/>
      </c>
      <c r="N58" s="40" t="n"/>
      <c r="O58" s="36" t="n"/>
    </row>
    <row r="59" ht="18" customHeight="1">
      <c r="A59" s="16" t="n">
        <v>55</v>
      </c>
      <c r="B59" s="114" t="n"/>
      <c r="C59" s="18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00">
        <f>IF(COUNTA(D59:H59)=0,"",IF(SUMPRODUCT((ISNUMBER(MATCH(IF(D59:H59&lt;&gt;"",D59:H59,0),IF(I59:K59&lt;&gt;"",I59:K59,999999),0)))*1)&gt;0,"✅ 命中","❌"))</f>
        <v/>
      </c>
      <c r="M59" s="71">
        <f>IF(L59="✅ 命中",IFERROR(INDEX(D59:H59,MATCH(1,ISNUMBER(MATCH(IF(D59:H59&lt;&gt;"",D59:H59,0),IF(I59:K59&lt;&gt;"",I59:K59,999999),0))*1,0)),""),"--")</f>
        <v/>
      </c>
      <c r="N59" s="18" t="n"/>
      <c r="O59" s="30" t="n"/>
    </row>
    <row r="60" ht="18" customHeight="1">
      <c r="A60" s="16" t="n">
        <v>56</v>
      </c>
      <c r="B60" s="116" t="n"/>
      <c r="C60" s="40" t="n"/>
      <c r="D60" s="117" t="n"/>
      <c r="E60" s="117" t="n"/>
      <c r="F60" s="117" t="n"/>
      <c r="G60" s="117" t="n"/>
      <c r="H60" s="117" t="n"/>
      <c r="I60" s="117" t="n"/>
      <c r="J60" s="117" t="n"/>
      <c r="K60" s="117" t="n"/>
      <c r="L60" s="101">
        <f>IF(COUNTA(D60:H60)=0,"",IF(SUMPRODUCT((ISNUMBER(MATCH(IF(D60:H60&lt;&gt;"",D60:H60,0),IF(I60:K60&lt;&gt;"",I60:K60,999999),0)))*1)&gt;0,"✅ 命中","❌"))</f>
        <v/>
      </c>
      <c r="M60" s="74">
        <f>IF(L60="✅ 命中",IFERROR(INDEX(D60:H60,MATCH(1,ISNUMBER(MATCH(IF(D60:H60&lt;&gt;"",D60:H60,0),IF(I60:K60&lt;&gt;"",I60:K60,999999),0))*1,0)),""),"--")</f>
        <v/>
      </c>
      <c r="N60" s="40" t="n"/>
      <c r="O60" s="36" t="n"/>
    </row>
    <row r="61" ht="18" customHeight="1">
      <c r="A61" s="16" t="n">
        <v>57</v>
      </c>
      <c r="B61" s="114" t="n"/>
      <c r="C61" s="18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00">
        <f>IF(COUNTA(D61:H61)=0,"",IF(SUMPRODUCT((ISNUMBER(MATCH(IF(D61:H61&lt;&gt;"",D61:H61,0),IF(I61:K61&lt;&gt;"",I61:K61,999999),0)))*1)&gt;0,"✅ 命中","❌"))</f>
        <v/>
      </c>
      <c r="M61" s="71">
        <f>IF(L61="✅ 命中",IFERROR(INDEX(D61:H61,MATCH(1,ISNUMBER(MATCH(IF(D61:H61&lt;&gt;"",D61:H61,0),IF(I61:K61&lt;&gt;"",I61:K61,999999),0))*1,0)),""),"--")</f>
        <v/>
      </c>
      <c r="N61" s="18" t="n"/>
      <c r="O61" s="30" t="n"/>
    </row>
    <row r="62" ht="18" customHeight="1">
      <c r="A62" s="16" t="n">
        <v>58</v>
      </c>
      <c r="B62" s="116" t="n"/>
      <c r="C62" s="40" t="n"/>
      <c r="D62" s="117" t="n"/>
      <c r="E62" s="117" t="n"/>
      <c r="F62" s="117" t="n"/>
      <c r="G62" s="117" t="n"/>
      <c r="H62" s="117" t="n"/>
      <c r="I62" s="117" t="n"/>
      <c r="J62" s="117" t="n"/>
      <c r="K62" s="117" t="n"/>
      <c r="L62" s="101">
        <f>IF(COUNTA(D62:H62)=0,"",IF(SUMPRODUCT((ISNUMBER(MATCH(IF(D62:H62&lt;&gt;"",D62:H62,0),IF(I62:K62&lt;&gt;"",I62:K62,999999),0)))*1)&gt;0,"✅ 命中","❌"))</f>
        <v/>
      </c>
      <c r="M62" s="74">
        <f>IF(L62="✅ 命中",IFERROR(INDEX(D62:H62,MATCH(1,ISNUMBER(MATCH(IF(D62:H62&lt;&gt;"",D62:H62,0),IF(I62:K62&lt;&gt;"",I62:K62,999999),0))*1,0)),""),"--")</f>
        <v/>
      </c>
      <c r="N62" s="40" t="n"/>
      <c r="O62" s="36" t="n"/>
    </row>
    <row r="63" ht="18" customHeight="1">
      <c r="A63" s="16" t="n">
        <v>59</v>
      </c>
      <c r="B63" s="114" t="n"/>
      <c r="C63" s="18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00">
        <f>IF(COUNTA(D63:H63)=0,"",IF(SUMPRODUCT((ISNUMBER(MATCH(IF(D63:H63&lt;&gt;"",D63:H63,0),IF(I63:K63&lt;&gt;"",I63:K63,999999),0)))*1)&gt;0,"✅ 命中","❌"))</f>
        <v/>
      </c>
      <c r="M63" s="71">
        <f>IF(L63="✅ 命中",IFERROR(INDEX(D63:H63,MATCH(1,ISNUMBER(MATCH(IF(D63:H63&lt;&gt;"",D63:H63,0),IF(I63:K63&lt;&gt;"",I63:K63,999999),0))*1,0)),""),"--")</f>
        <v/>
      </c>
      <c r="N63" s="18" t="n"/>
      <c r="O63" s="30" t="n"/>
    </row>
    <row r="64" ht="18" customHeight="1">
      <c r="A64" s="16" t="n">
        <v>60</v>
      </c>
      <c r="B64" s="116" t="n"/>
      <c r="C64" s="40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01">
        <f>IF(COUNTA(D64:H64)=0,"",IF(SUMPRODUCT((ISNUMBER(MATCH(IF(D64:H64&lt;&gt;"",D64:H64,0),IF(I64:K64&lt;&gt;"",I64:K64,999999),0)))*1)&gt;0,"✅ 命中","❌"))</f>
        <v/>
      </c>
      <c r="M64" s="74">
        <f>IF(L64="✅ 命中",IFERROR(INDEX(D64:H64,MATCH(1,ISNUMBER(MATCH(IF(D64:H64&lt;&gt;"",D64:H64,0),IF(I64:K64&lt;&gt;"",I64:K64,999999),0))*1,0)),""),"--")</f>
        <v/>
      </c>
      <c r="N64" s="40" t="n"/>
      <c r="O64" s="36" t="n"/>
    </row>
    <row r="65" ht="18" customHeight="1">
      <c r="A65" s="16" t="n">
        <v>61</v>
      </c>
      <c r="B65" s="114" t="n"/>
      <c r="C65" s="18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00">
        <f>IF(COUNTA(D65:H65)=0,"",IF(SUMPRODUCT((ISNUMBER(MATCH(IF(D65:H65&lt;&gt;"",D65:H65,0),IF(I65:K65&lt;&gt;"",I65:K65,999999),0)))*1)&gt;0,"✅ 命中","❌"))</f>
        <v/>
      </c>
      <c r="M65" s="71">
        <f>IF(L65="✅ 命中",IFERROR(INDEX(D65:H65,MATCH(1,ISNUMBER(MATCH(IF(D65:H65&lt;&gt;"",D65:H65,0),IF(I65:K65&lt;&gt;"",I65:K65,999999),0))*1,0)),""),"--")</f>
        <v/>
      </c>
      <c r="N65" s="18" t="n"/>
      <c r="O65" s="30" t="n"/>
    </row>
    <row r="66" ht="18" customHeight="1">
      <c r="A66" s="16" t="n">
        <v>62</v>
      </c>
      <c r="B66" s="116" t="n"/>
      <c r="C66" s="40" t="n"/>
      <c r="D66" s="117" t="n"/>
      <c r="E66" s="117" t="n"/>
      <c r="F66" s="117" t="n"/>
      <c r="G66" s="117" t="n"/>
      <c r="H66" s="117" t="n"/>
      <c r="I66" s="117" t="n"/>
      <c r="J66" s="117" t="n"/>
      <c r="K66" s="117" t="n"/>
      <c r="L66" s="101">
        <f>IF(COUNTA(D66:H66)=0,"",IF(SUMPRODUCT((ISNUMBER(MATCH(IF(D66:H66&lt;&gt;"",D66:H66,0),IF(I66:K66&lt;&gt;"",I66:K66,999999),0)))*1)&gt;0,"✅ 命中","❌"))</f>
        <v/>
      </c>
      <c r="M66" s="74">
        <f>IF(L66="✅ 命中",IFERROR(INDEX(D66:H66,MATCH(1,ISNUMBER(MATCH(IF(D66:H66&lt;&gt;"",D66:H66,0),IF(I66:K66&lt;&gt;"",I66:K66,999999),0))*1,0)),""),"--")</f>
        <v/>
      </c>
      <c r="N66" s="40" t="n"/>
      <c r="O66" s="36" t="n"/>
    </row>
    <row r="67" ht="18" customHeight="1">
      <c r="A67" s="16" t="n">
        <v>63</v>
      </c>
      <c r="B67" s="114" t="n"/>
      <c r="C67" s="18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00">
        <f>IF(COUNTA(D67:H67)=0,"",IF(SUMPRODUCT((ISNUMBER(MATCH(IF(D67:H67&lt;&gt;"",D67:H67,0),IF(I67:K67&lt;&gt;"",I67:K67,999999),0)))*1)&gt;0,"✅ 命中","❌"))</f>
        <v/>
      </c>
      <c r="M67" s="71">
        <f>IF(L67="✅ 命中",IFERROR(INDEX(D67:H67,MATCH(1,ISNUMBER(MATCH(IF(D67:H67&lt;&gt;"",D67:H67,0),IF(I67:K67&lt;&gt;"",I67:K67,999999),0))*1,0)),""),"--")</f>
        <v/>
      </c>
      <c r="N67" s="18" t="n"/>
      <c r="O67" s="30" t="n"/>
    </row>
    <row r="68" ht="18" customHeight="1">
      <c r="A68" s="16" t="n">
        <v>64</v>
      </c>
      <c r="B68" s="116" t="n"/>
      <c r="C68" s="40" t="n"/>
      <c r="D68" s="117" t="n"/>
      <c r="E68" s="117" t="n"/>
      <c r="F68" s="117" t="n"/>
      <c r="G68" s="117" t="n"/>
      <c r="H68" s="117" t="n"/>
      <c r="I68" s="117" t="n"/>
      <c r="J68" s="117" t="n"/>
      <c r="K68" s="117" t="n"/>
      <c r="L68" s="101">
        <f>IF(COUNTA(D68:H68)=0,"",IF(SUMPRODUCT((ISNUMBER(MATCH(IF(D68:H68&lt;&gt;"",D68:H68,0),IF(I68:K68&lt;&gt;"",I68:K68,999999),0)))*1)&gt;0,"✅ 命中","❌"))</f>
        <v/>
      </c>
      <c r="M68" s="74">
        <f>IF(L68="✅ 命中",IFERROR(INDEX(D68:H68,MATCH(1,ISNUMBER(MATCH(IF(D68:H68&lt;&gt;"",D68:H68,0),IF(I68:K68&lt;&gt;"",I68:K68,999999),0))*1,0)),""),"--")</f>
        <v/>
      </c>
      <c r="N68" s="40" t="n"/>
      <c r="O68" s="36" t="n"/>
    </row>
    <row r="69" ht="18" customHeight="1">
      <c r="A69" s="16" t="n">
        <v>65</v>
      </c>
      <c r="B69" s="114" t="n"/>
      <c r="C69" s="18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00">
        <f>IF(COUNTA(D69:H69)=0,"",IF(SUMPRODUCT((ISNUMBER(MATCH(IF(D69:H69&lt;&gt;"",D69:H69,0),IF(I69:K69&lt;&gt;"",I69:K69,999999),0)))*1)&gt;0,"✅ 命中","❌"))</f>
        <v/>
      </c>
      <c r="M69" s="71">
        <f>IF(L69="✅ 命中",IFERROR(INDEX(D69:H69,MATCH(1,ISNUMBER(MATCH(IF(D69:H69&lt;&gt;"",D69:H69,0),IF(I69:K69&lt;&gt;"",I69:K69,999999),0))*1,0)),""),"--")</f>
        <v/>
      </c>
      <c r="N69" s="18" t="n"/>
      <c r="O69" s="30" t="n"/>
    </row>
    <row r="70" ht="18" customHeight="1">
      <c r="A70" s="16" t="n">
        <v>66</v>
      </c>
      <c r="B70" s="116" t="n"/>
      <c r="C70" s="40" t="n"/>
      <c r="D70" s="117" t="n"/>
      <c r="E70" s="117" t="n"/>
      <c r="F70" s="117" t="n"/>
      <c r="G70" s="117" t="n"/>
      <c r="H70" s="117" t="n"/>
      <c r="I70" s="117" t="n"/>
      <c r="J70" s="117" t="n"/>
      <c r="K70" s="117" t="n"/>
      <c r="L70" s="101">
        <f>IF(COUNTA(D70:H70)=0,"",IF(SUMPRODUCT((ISNUMBER(MATCH(IF(D70:H70&lt;&gt;"",D70:H70,0),IF(I70:K70&lt;&gt;"",I70:K70,999999),0)))*1)&gt;0,"✅ 命中","❌"))</f>
        <v/>
      </c>
      <c r="M70" s="74">
        <f>IF(L70="✅ 命中",IFERROR(INDEX(D70:H70,MATCH(1,ISNUMBER(MATCH(IF(D70:H70&lt;&gt;"",D70:H70,0),IF(I70:K70&lt;&gt;"",I70:K70,999999),0))*1,0)),""),"--")</f>
        <v/>
      </c>
      <c r="N70" s="40" t="n"/>
      <c r="O70" s="36" t="n"/>
    </row>
    <row r="71" ht="18" customHeight="1">
      <c r="A71" s="16" t="n">
        <v>67</v>
      </c>
      <c r="B71" s="114" t="n"/>
      <c r="C71" s="18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00">
        <f>IF(COUNTA(D71:H71)=0,"",IF(SUMPRODUCT((ISNUMBER(MATCH(IF(D71:H71&lt;&gt;"",D71:H71,0),IF(I71:K71&lt;&gt;"",I71:K71,999999),0)))*1)&gt;0,"✅ 命中","❌"))</f>
        <v/>
      </c>
      <c r="M71" s="71">
        <f>IF(L71="✅ 命中",IFERROR(INDEX(D71:H71,MATCH(1,ISNUMBER(MATCH(IF(D71:H71&lt;&gt;"",D71:H71,0),IF(I71:K71&lt;&gt;"",I71:K71,999999),0))*1,0)),""),"--")</f>
        <v/>
      </c>
      <c r="N71" s="18" t="n"/>
      <c r="O71" s="30" t="n"/>
    </row>
    <row r="72" ht="18" customHeight="1">
      <c r="A72" s="16" t="n">
        <v>68</v>
      </c>
      <c r="B72" s="116" t="n"/>
      <c r="C72" s="40" t="n"/>
      <c r="D72" s="117" t="n"/>
      <c r="E72" s="117" t="n"/>
      <c r="F72" s="117" t="n"/>
      <c r="G72" s="117" t="n"/>
      <c r="H72" s="117" t="n"/>
      <c r="I72" s="117" t="n"/>
      <c r="J72" s="117" t="n"/>
      <c r="K72" s="117" t="n"/>
      <c r="L72" s="101">
        <f>IF(COUNTA(D72:H72)=0,"",IF(SUMPRODUCT((ISNUMBER(MATCH(IF(D72:H72&lt;&gt;"",D72:H72,0),IF(I72:K72&lt;&gt;"",I72:K72,999999),0)))*1)&gt;0,"✅ 命中","❌"))</f>
        <v/>
      </c>
      <c r="M72" s="74">
        <f>IF(L72="✅ 命中",IFERROR(INDEX(D72:H72,MATCH(1,ISNUMBER(MATCH(IF(D72:H72&lt;&gt;"",D72:H72,0),IF(I72:K72&lt;&gt;"",I72:K72,999999),0))*1,0)),""),"--")</f>
        <v/>
      </c>
      <c r="N72" s="40" t="n"/>
      <c r="O72" s="36" t="n"/>
    </row>
    <row r="73" ht="18" customHeight="1">
      <c r="A73" s="16" t="n">
        <v>69</v>
      </c>
      <c r="B73" s="114" t="n"/>
      <c r="C73" s="18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00">
        <f>IF(COUNTA(D73:H73)=0,"",IF(SUMPRODUCT((ISNUMBER(MATCH(IF(D73:H73&lt;&gt;"",D73:H73,0),IF(I73:K73&lt;&gt;"",I73:K73,999999),0)))*1)&gt;0,"✅ 命中","❌"))</f>
        <v/>
      </c>
      <c r="M73" s="71">
        <f>IF(L73="✅ 命中",IFERROR(INDEX(D73:H73,MATCH(1,ISNUMBER(MATCH(IF(D73:H73&lt;&gt;"",D73:H73,0),IF(I73:K73&lt;&gt;"",I73:K73,999999),0))*1,0)),""),"--")</f>
        <v/>
      </c>
      <c r="N73" s="18" t="n"/>
      <c r="O73" s="30" t="n"/>
    </row>
    <row r="74" ht="18" customHeight="1">
      <c r="A74" s="16" t="n">
        <v>70</v>
      </c>
      <c r="B74" s="116" t="n"/>
      <c r="C74" s="40" t="n"/>
      <c r="D74" s="117" t="n"/>
      <c r="E74" s="117" t="n"/>
      <c r="F74" s="117" t="n"/>
      <c r="G74" s="117" t="n"/>
      <c r="H74" s="117" t="n"/>
      <c r="I74" s="117" t="n"/>
      <c r="J74" s="117" t="n"/>
      <c r="K74" s="117" t="n"/>
      <c r="L74" s="101">
        <f>IF(COUNTA(D74:H74)=0,"",IF(SUMPRODUCT((ISNUMBER(MATCH(IF(D74:H74&lt;&gt;"",D74:H74,0),IF(I74:K74&lt;&gt;"",I74:K74,999999),0)))*1)&gt;0,"✅ 命中","❌"))</f>
        <v/>
      </c>
      <c r="M74" s="74">
        <f>IF(L74="✅ 命中",IFERROR(INDEX(D74:H74,MATCH(1,ISNUMBER(MATCH(IF(D74:H74&lt;&gt;"",D74:H74,0),IF(I74:K74&lt;&gt;"",I74:K74,999999),0))*1,0)),""),"--")</f>
        <v/>
      </c>
      <c r="N74" s="40" t="n"/>
      <c r="O74" s="36" t="n"/>
    </row>
    <row r="75" ht="18" customHeight="1">
      <c r="A75" s="16" t="n">
        <v>71</v>
      </c>
      <c r="B75" s="114" t="n"/>
      <c r="C75" s="18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00">
        <f>IF(COUNTA(D75:H75)=0,"",IF(SUMPRODUCT((ISNUMBER(MATCH(IF(D75:H75&lt;&gt;"",D75:H75,0),IF(I75:K75&lt;&gt;"",I75:K75,999999),0)))*1)&gt;0,"✅ 命中","❌"))</f>
        <v/>
      </c>
      <c r="M75" s="71">
        <f>IF(L75="✅ 命中",IFERROR(INDEX(D75:H75,MATCH(1,ISNUMBER(MATCH(IF(D75:H75&lt;&gt;"",D75:H75,0),IF(I75:K75&lt;&gt;"",I75:K75,999999),0))*1,0)),""),"--")</f>
        <v/>
      </c>
      <c r="N75" s="18" t="n"/>
      <c r="O75" s="30" t="n"/>
    </row>
    <row r="76" ht="18" customHeight="1">
      <c r="A76" s="16" t="n">
        <v>72</v>
      </c>
      <c r="B76" s="116" t="n"/>
      <c r="C76" s="40" t="n"/>
      <c r="D76" s="117" t="n"/>
      <c r="E76" s="117" t="n"/>
      <c r="F76" s="117" t="n"/>
      <c r="G76" s="117" t="n"/>
      <c r="H76" s="117" t="n"/>
      <c r="I76" s="117" t="n"/>
      <c r="J76" s="117" t="n"/>
      <c r="K76" s="117" t="n"/>
      <c r="L76" s="101">
        <f>IF(COUNTA(D76:H76)=0,"",IF(SUMPRODUCT((ISNUMBER(MATCH(IF(D76:H76&lt;&gt;"",D76:H76,0),IF(I76:K76&lt;&gt;"",I76:K76,999999),0)))*1)&gt;0,"✅ 命中","❌"))</f>
        <v/>
      </c>
      <c r="M76" s="74">
        <f>IF(L76="✅ 命中",IFERROR(INDEX(D76:H76,MATCH(1,ISNUMBER(MATCH(IF(D76:H76&lt;&gt;"",D76:H76,0),IF(I76:K76&lt;&gt;"",I76:K76,999999),0))*1,0)),""),"--")</f>
        <v/>
      </c>
      <c r="N76" s="40" t="n"/>
      <c r="O76" s="36" t="n"/>
    </row>
    <row r="77" ht="18" customHeight="1">
      <c r="A77" s="16" t="n">
        <v>73</v>
      </c>
      <c r="B77" s="114" t="n"/>
      <c r="C77" s="18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00">
        <f>IF(COUNTA(D77:H77)=0,"",IF(SUMPRODUCT((ISNUMBER(MATCH(IF(D77:H77&lt;&gt;"",D77:H77,0),IF(I77:K77&lt;&gt;"",I77:K77,999999),0)))*1)&gt;0,"✅ 命中","❌"))</f>
        <v/>
      </c>
      <c r="M77" s="71">
        <f>IF(L77="✅ 命中",IFERROR(INDEX(D77:H77,MATCH(1,ISNUMBER(MATCH(IF(D77:H77&lt;&gt;"",D77:H77,0),IF(I77:K77&lt;&gt;"",I77:K77,999999),0))*1,0)),""),"--")</f>
        <v/>
      </c>
      <c r="N77" s="18" t="n"/>
      <c r="O77" s="30" t="n"/>
    </row>
    <row r="78" ht="18" customHeight="1">
      <c r="A78" s="16" t="n">
        <v>74</v>
      </c>
      <c r="B78" s="116" t="n"/>
      <c r="C78" s="40" t="n"/>
      <c r="D78" s="117" t="n"/>
      <c r="E78" s="117" t="n"/>
      <c r="F78" s="117" t="n"/>
      <c r="G78" s="117" t="n"/>
      <c r="H78" s="117" t="n"/>
      <c r="I78" s="117" t="n"/>
      <c r="J78" s="117" t="n"/>
      <c r="K78" s="117" t="n"/>
      <c r="L78" s="101">
        <f>IF(COUNTA(D78:H78)=0,"",IF(SUMPRODUCT((ISNUMBER(MATCH(IF(D78:H78&lt;&gt;"",D78:H78,0),IF(I78:K78&lt;&gt;"",I78:K78,999999),0)))*1)&gt;0,"✅ 命中","❌"))</f>
        <v/>
      </c>
      <c r="M78" s="74">
        <f>IF(L78="✅ 命中",IFERROR(INDEX(D78:H78,MATCH(1,ISNUMBER(MATCH(IF(D78:H78&lt;&gt;"",D78:H78,0),IF(I78:K78&lt;&gt;"",I78:K78,999999),0))*1,0)),""),"--")</f>
        <v/>
      </c>
      <c r="N78" s="40" t="n"/>
      <c r="O78" s="36" t="n"/>
    </row>
    <row r="79" ht="18" customHeight="1">
      <c r="A79" s="16" t="n">
        <v>75</v>
      </c>
      <c r="B79" s="114" t="n"/>
      <c r="C79" s="18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00">
        <f>IF(COUNTA(D79:H79)=0,"",IF(SUMPRODUCT((ISNUMBER(MATCH(IF(D79:H79&lt;&gt;"",D79:H79,0),IF(I79:K79&lt;&gt;"",I79:K79,999999),0)))*1)&gt;0,"✅ 命中","❌"))</f>
        <v/>
      </c>
      <c r="M79" s="71">
        <f>IF(L79="✅ 命中",IFERROR(INDEX(D79:H79,MATCH(1,ISNUMBER(MATCH(IF(D79:H79&lt;&gt;"",D79:H79,0),IF(I79:K79&lt;&gt;"",I79:K79,999999),0))*1,0)),""),"--")</f>
        <v/>
      </c>
      <c r="N79" s="18" t="n"/>
      <c r="O79" s="30" t="n"/>
    </row>
    <row r="80" ht="18" customHeight="1">
      <c r="A80" s="16" t="n">
        <v>76</v>
      </c>
      <c r="B80" s="116" t="n"/>
      <c r="C80" s="40" t="n"/>
      <c r="D80" s="117" t="n"/>
      <c r="E80" s="117" t="n"/>
      <c r="F80" s="117" t="n"/>
      <c r="G80" s="117" t="n"/>
      <c r="H80" s="117" t="n"/>
      <c r="I80" s="117" t="n"/>
      <c r="J80" s="117" t="n"/>
      <c r="K80" s="117" t="n"/>
      <c r="L80" s="101">
        <f>IF(COUNTA(D80:H80)=0,"",IF(SUMPRODUCT((ISNUMBER(MATCH(IF(D80:H80&lt;&gt;"",D80:H80,0),IF(I80:K80&lt;&gt;"",I80:K80,999999),0)))*1)&gt;0,"✅ 命中","❌"))</f>
        <v/>
      </c>
      <c r="M80" s="74">
        <f>IF(L80="✅ 命中",IFERROR(INDEX(D80:H80,MATCH(1,ISNUMBER(MATCH(IF(D80:H80&lt;&gt;"",D80:H80,0),IF(I80:K80&lt;&gt;"",I80:K80,999999),0))*1,0)),""),"--")</f>
        <v/>
      </c>
      <c r="N80" s="40" t="n"/>
      <c r="O80" s="36" t="n"/>
    </row>
    <row r="81" ht="18" customHeight="1">
      <c r="A81" s="16" t="n">
        <v>77</v>
      </c>
      <c r="B81" s="114" t="n"/>
      <c r="C81" s="18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00">
        <f>IF(COUNTA(D81:H81)=0,"",IF(SUMPRODUCT((ISNUMBER(MATCH(IF(D81:H81&lt;&gt;"",D81:H81,0),IF(I81:K81&lt;&gt;"",I81:K81,999999),0)))*1)&gt;0,"✅ 命中","❌"))</f>
        <v/>
      </c>
      <c r="M81" s="71">
        <f>IF(L81="✅ 命中",IFERROR(INDEX(D81:H81,MATCH(1,ISNUMBER(MATCH(IF(D81:H81&lt;&gt;"",D81:H81,0),IF(I81:K81&lt;&gt;"",I81:K81,999999),0))*1,0)),""),"--")</f>
        <v/>
      </c>
      <c r="N81" s="18" t="n"/>
      <c r="O81" s="30" t="n"/>
    </row>
    <row r="82" ht="18" customHeight="1">
      <c r="A82" s="16" t="n">
        <v>78</v>
      </c>
      <c r="B82" s="116" t="n"/>
      <c r="C82" s="40" t="n"/>
      <c r="D82" s="117" t="n"/>
      <c r="E82" s="117" t="n"/>
      <c r="F82" s="117" t="n"/>
      <c r="G82" s="117" t="n"/>
      <c r="H82" s="117" t="n"/>
      <c r="I82" s="117" t="n"/>
      <c r="J82" s="117" t="n"/>
      <c r="K82" s="117" t="n"/>
      <c r="L82" s="101">
        <f>IF(COUNTA(D82:H82)=0,"",IF(SUMPRODUCT((ISNUMBER(MATCH(IF(D82:H82&lt;&gt;"",D82:H82,0),IF(I82:K82&lt;&gt;"",I82:K82,999999),0)))*1)&gt;0,"✅ 命中","❌"))</f>
        <v/>
      </c>
      <c r="M82" s="74">
        <f>IF(L82="✅ 命中",IFERROR(INDEX(D82:H82,MATCH(1,ISNUMBER(MATCH(IF(D82:H82&lt;&gt;"",D82:H82,0),IF(I82:K82&lt;&gt;"",I82:K82,999999),0))*1,0)),""),"--")</f>
        <v/>
      </c>
      <c r="N82" s="40" t="n"/>
      <c r="O82" s="36" t="n"/>
    </row>
    <row r="83" ht="18" customHeight="1">
      <c r="A83" s="16" t="n">
        <v>79</v>
      </c>
      <c r="B83" s="114" t="n"/>
      <c r="C83" s="18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00">
        <f>IF(COUNTA(D83:H83)=0,"",IF(SUMPRODUCT((ISNUMBER(MATCH(IF(D83:H83&lt;&gt;"",D83:H83,0),IF(I83:K83&lt;&gt;"",I83:K83,999999),0)))*1)&gt;0,"✅ 命中","❌"))</f>
        <v/>
      </c>
      <c r="M83" s="71">
        <f>IF(L83="✅ 命中",IFERROR(INDEX(D83:H83,MATCH(1,ISNUMBER(MATCH(IF(D83:H83&lt;&gt;"",D83:H83,0),IF(I83:K83&lt;&gt;"",I83:K83,999999),0))*1,0)),""),"--")</f>
        <v/>
      </c>
      <c r="N83" s="18" t="n"/>
      <c r="O83" s="30" t="n"/>
    </row>
    <row r="84" ht="18" customHeight="1">
      <c r="A84" s="16" t="n">
        <v>80</v>
      </c>
      <c r="B84" s="116" t="n"/>
      <c r="C84" s="40" t="n"/>
      <c r="D84" s="117" t="n"/>
      <c r="E84" s="117" t="n"/>
      <c r="F84" s="117" t="n"/>
      <c r="G84" s="117" t="n"/>
      <c r="H84" s="117" t="n"/>
      <c r="I84" s="117" t="n"/>
      <c r="J84" s="117" t="n"/>
      <c r="K84" s="117" t="n"/>
      <c r="L84" s="101">
        <f>IF(COUNTA(D84:H84)=0,"",IF(SUMPRODUCT((ISNUMBER(MATCH(IF(D84:H84&lt;&gt;"",D84:H84,0),IF(I84:K84&lt;&gt;"",I84:K84,999999),0)))*1)&gt;0,"✅ 命中","❌"))</f>
        <v/>
      </c>
      <c r="M84" s="74">
        <f>IF(L84="✅ 命中",IFERROR(INDEX(D84:H84,MATCH(1,ISNUMBER(MATCH(IF(D84:H84&lt;&gt;"",D84:H84,0),IF(I84:K84&lt;&gt;"",I84:K84,999999),0))*1,0)),""),"--")</f>
        <v/>
      </c>
      <c r="N84" s="40" t="n"/>
      <c r="O84" s="36" t="n"/>
    </row>
    <row r="85" ht="18" customHeight="1">
      <c r="A85" s="16" t="n">
        <v>81</v>
      </c>
      <c r="B85" s="114" t="n"/>
      <c r="C85" s="18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00">
        <f>IF(COUNTA(D85:H85)=0,"",IF(SUMPRODUCT((ISNUMBER(MATCH(IF(D85:H85&lt;&gt;"",D85:H85,0),IF(I85:K85&lt;&gt;"",I85:K85,999999),0)))*1)&gt;0,"✅ 命中","❌"))</f>
        <v/>
      </c>
      <c r="M85" s="71">
        <f>IF(L85="✅ 命中",IFERROR(INDEX(D85:H85,MATCH(1,ISNUMBER(MATCH(IF(D85:H85&lt;&gt;"",D85:H85,0),IF(I85:K85&lt;&gt;"",I85:K85,999999),0))*1,0)),""),"--")</f>
        <v/>
      </c>
      <c r="N85" s="18" t="n"/>
      <c r="O85" s="30" t="n"/>
    </row>
    <row r="86" ht="18" customHeight="1">
      <c r="A86" s="16" t="n">
        <v>82</v>
      </c>
      <c r="B86" s="116" t="n"/>
      <c r="C86" s="40" t="n"/>
      <c r="D86" s="117" t="n"/>
      <c r="E86" s="117" t="n"/>
      <c r="F86" s="117" t="n"/>
      <c r="G86" s="117" t="n"/>
      <c r="H86" s="117" t="n"/>
      <c r="I86" s="117" t="n"/>
      <c r="J86" s="117" t="n"/>
      <c r="K86" s="117" t="n"/>
      <c r="L86" s="101">
        <f>IF(COUNTA(D86:H86)=0,"",IF(SUMPRODUCT((ISNUMBER(MATCH(IF(D86:H86&lt;&gt;"",D86:H86,0),IF(I86:K86&lt;&gt;"",I86:K86,999999),0)))*1)&gt;0,"✅ 命中","❌"))</f>
        <v/>
      </c>
      <c r="M86" s="74">
        <f>IF(L86="✅ 命中",IFERROR(INDEX(D86:H86,MATCH(1,ISNUMBER(MATCH(IF(D86:H86&lt;&gt;"",D86:H86,0),IF(I86:K86&lt;&gt;"",I86:K86,999999),0))*1,0)),""),"--")</f>
        <v/>
      </c>
      <c r="N86" s="40" t="n"/>
      <c r="O86" s="36" t="n"/>
    </row>
    <row r="87" ht="18" customHeight="1">
      <c r="A87" s="16" t="n">
        <v>83</v>
      </c>
      <c r="B87" s="114" t="n"/>
      <c r="C87" s="18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00">
        <f>IF(COUNTA(D87:H87)=0,"",IF(SUMPRODUCT((ISNUMBER(MATCH(IF(D87:H87&lt;&gt;"",D87:H87,0),IF(I87:K87&lt;&gt;"",I87:K87,999999),0)))*1)&gt;0,"✅ 命中","❌"))</f>
        <v/>
      </c>
      <c r="M87" s="71">
        <f>IF(L87="✅ 命中",IFERROR(INDEX(D87:H87,MATCH(1,ISNUMBER(MATCH(IF(D87:H87&lt;&gt;"",D87:H87,0),IF(I87:K87&lt;&gt;"",I87:K87,999999),0))*1,0)),""),"--")</f>
        <v/>
      </c>
      <c r="N87" s="18" t="n"/>
      <c r="O87" s="30" t="n"/>
    </row>
    <row r="88" ht="18" customHeight="1">
      <c r="A88" s="16" t="n">
        <v>84</v>
      </c>
      <c r="B88" s="116" t="n"/>
      <c r="C88" s="40" t="n"/>
      <c r="D88" s="117" t="n"/>
      <c r="E88" s="117" t="n"/>
      <c r="F88" s="117" t="n"/>
      <c r="G88" s="117" t="n"/>
      <c r="H88" s="117" t="n"/>
      <c r="I88" s="117" t="n"/>
      <c r="J88" s="117" t="n"/>
      <c r="K88" s="117" t="n"/>
      <c r="L88" s="101">
        <f>IF(COUNTA(D88:H88)=0,"",IF(SUMPRODUCT((ISNUMBER(MATCH(IF(D88:H88&lt;&gt;"",D88:H88,0),IF(I88:K88&lt;&gt;"",I88:K88,999999),0)))*1)&gt;0,"✅ 命中","❌"))</f>
        <v/>
      </c>
      <c r="M88" s="74">
        <f>IF(L88="✅ 命中",IFERROR(INDEX(D88:H88,MATCH(1,ISNUMBER(MATCH(IF(D88:H88&lt;&gt;"",D88:H88,0),IF(I88:K88&lt;&gt;"",I88:K88,999999),0))*1,0)),""),"--")</f>
        <v/>
      </c>
      <c r="N88" s="40" t="n"/>
      <c r="O88" s="36" t="n"/>
    </row>
    <row r="89" ht="18" customHeight="1">
      <c r="A89" s="16" t="n">
        <v>85</v>
      </c>
      <c r="B89" s="114" t="n"/>
      <c r="C89" s="18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00">
        <f>IF(COUNTA(D89:H89)=0,"",IF(SUMPRODUCT((ISNUMBER(MATCH(IF(D89:H89&lt;&gt;"",D89:H89,0),IF(I89:K89&lt;&gt;"",I89:K89,999999),0)))*1)&gt;0,"✅ 命中","❌"))</f>
        <v/>
      </c>
      <c r="M89" s="71">
        <f>IF(L89="✅ 命中",IFERROR(INDEX(D89:H89,MATCH(1,ISNUMBER(MATCH(IF(D89:H89&lt;&gt;"",D89:H89,0),IF(I89:K89&lt;&gt;"",I89:K89,999999),0))*1,0)),""),"--")</f>
        <v/>
      </c>
      <c r="N89" s="18" t="n"/>
      <c r="O89" s="30" t="n"/>
    </row>
    <row r="90" ht="18" customHeight="1">
      <c r="A90" s="16" t="n">
        <v>86</v>
      </c>
      <c r="B90" s="116" t="n"/>
      <c r="C90" s="40" t="n"/>
      <c r="D90" s="117" t="n"/>
      <c r="E90" s="117" t="n"/>
      <c r="F90" s="117" t="n"/>
      <c r="G90" s="117" t="n"/>
      <c r="H90" s="117" t="n"/>
      <c r="I90" s="117" t="n"/>
      <c r="J90" s="117" t="n"/>
      <c r="K90" s="117" t="n"/>
      <c r="L90" s="101">
        <f>IF(COUNTA(D90:H90)=0,"",IF(SUMPRODUCT((ISNUMBER(MATCH(IF(D90:H90&lt;&gt;"",D90:H90,0),IF(I90:K90&lt;&gt;"",I90:K90,999999),0)))*1)&gt;0,"✅ 命中","❌"))</f>
        <v/>
      </c>
      <c r="M90" s="74">
        <f>IF(L90="✅ 命中",IFERROR(INDEX(D90:H90,MATCH(1,ISNUMBER(MATCH(IF(D90:H90&lt;&gt;"",D90:H90,0),IF(I90:K90&lt;&gt;"",I90:K90,999999),0))*1,0)),""),"--")</f>
        <v/>
      </c>
      <c r="N90" s="40" t="n"/>
      <c r="O90" s="36" t="n"/>
    </row>
    <row r="91" ht="18" customHeight="1">
      <c r="A91" s="16" t="n">
        <v>87</v>
      </c>
      <c r="B91" s="114" t="n"/>
      <c r="C91" s="18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00">
        <f>IF(COUNTA(D91:H91)=0,"",IF(SUMPRODUCT((ISNUMBER(MATCH(IF(D91:H91&lt;&gt;"",D91:H91,0),IF(I91:K91&lt;&gt;"",I91:K91,999999),0)))*1)&gt;0,"✅ 命中","❌"))</f>
        <v/>
      </c>
      <c r="M91" s="71">
        <f>IF(L91="✅ 命中",IFERROR(INDEX(D91:H91,MATCH(1,ISNUMBER(MATCH(IF(D91:H91&lt;&gt;"",D91:H91,0),IF(I91:K91&lt;&gt;"",I91:K91,999999),0))*1,0)),""),"--")</f>
        <v/>
      </c>
      <c r="N91" s="18" t="n"/>
      <c r="O91" s="30" t="n"/>
    </row>
    <row r="92" ht="18" customHeight="1">
      <c r="A92" s="16" t="n">
        <v>88</v>
      </c>
      <c r="B92" s="116" t="n"/>
      <c r="C92" s="40" t="n"/>
      <c r="D92" s="117" t="n"/>
      <c r="E92" s="117" t="n"/>
      <c r="F92" s="117" t="n"/>
      <c r="G92" s="117" t="n"/>
      <c r="H92" s="117" t="n"/>
      <c r="I92" s="117" t="n"/>
      <c r="J92" s="117" t="n"/>
      <c r="K92" s="117" t="n"/>
      <c r="L92" s="101">
        <f>IF(COUNTA(D92:H92)=0,"",IF(SUMPRODUCT((ISNUMBER(MATCH(IF(D92:H92&lt;&gt;"",D92:H92,0),IF(I92:K92&lt;&gt;"",I92:K92,999999),0)))*1)&gt;0,"✅ 命中","❌"))</f>
        <v/>
      </c>
      <c r="M92" s="74">
        <f>IF(L92="✅ 命中",IFERROR(INDEX(D92:H92,MATCH(1,ISNUMBER(MATCH(IF(D92:H92&lt;&gt;"",D92:H92,0),IF(I92:K92&lt;&gt;"",I92:K92,999999),0))*1,0)),""),"--")</f>
        <v/>
      </c>
      <c r="N92" s="40" t="n"/>
      <c r="O92" s="36" t="n"/>
    </row>
    <row r="93" ht="18" customHeight="1">
      <c r="A93" s="16" t="n">
        <v>89</v>
      </c>
      <c r="B93" s="114" t="n"/>
      <c r="C93" s="18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00">
        <f>IF(COUNTA(D93:H93)=0,"",IF(SUMPRODUCT((ISNUMBER(MATCH(IF(D93:H93&lt;&gt;"",D93:H93,0),IF(I93:K93&lt;&gt;"",I93:K93,999999),0)))*1)&gt;0,"✅ 命中","❌"))</f>
        <v/>
      </c>
      <c r="M93" s="71">
        <f>IF(L93="✅ 命中",IFERROR(INDEX(D93:H93,MATCH(1,ISNUMBER(MATCH(IF(D93:H93&lt;&gt;"",D93:H93,0),IF(I93:K93&lt;&gt;"",I93:K93,999999),0))*1,0)),""),"--")</f>
        <v/>
      </c>
      <c r="N93" s="18" t="n"/>
      <c r="O93" s="30" t="n"/>
    </row>
    <row r="94" ht="18" customHeight="1">
      <c r="A94" s="16" t="n">
        <v>90</v>
      </c>
      <c r="B94" s="116" t="n"/>
      <c r="C94" s="40" t="n"/>
      <c r="D94" s="117" t="n"/>
      <c r="E94" s="117" t="n"/>
      <c r="F94" s="117" t="n"/>
      <c r="G94" s="117" t="n"/>
      <c r="H94" s="117" t="n"/>
      <c r="I94" s="117" t="n"/>
      <c r="J94" s="117" t="n"/>
      <c r="K94" s="117" t="n"/>
      <c r="L94" s="101">
        <f>IF(COUNTA(D94:H94)=0,"",IF(SUMPRODUCT((ISNUMBER(MATCH(IF(D94:H94&lt;&gt;"",D94:H94,0),IF(I94:K94&lt;&gt;"",I94:K94,999999),0)))*1)&gt;0,"✅ 命中","❌"))</f>
        <v/>
      </c>
      <c r="M94" s="74">
        <f>IF(L94="✅ 命中",IFERROR(INDEX(D94:H94,MATCH(1,ISNUMBER(MATCH(IF(D94:H94&lt;&gt;"",D94:H94,0),IF(I94:K94&lt;&gt;"",I94:K94,999999),0))*1,0)),""),"--")</f>
        <v/>
      </c>
      <c r="N94" s="40" t="n"/>
      <c r="O94" s="36" t="n"/>
    </row>
    <row r="95" ht="18" customHeight="1">
      <c r="A95" s="16" t="n">
        <v>91</v>
      </c>
      <c r="B95" s="114" t="n"/>
      <c r="C95" s="18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00">
        <f>IF(COUNTA(D95:H95)=0,"",IF(SUMPRODUCT((ISNUMBER(MATCH(IF(D95:H95&lt;&gt;"",D95:H95,0),IF(I95:K95&lt;&gt;"",I95:K95,999999),0)))*1)&gt;0,"✅ 命中","❌"))</f>
        <v/>
      </c>
      <c r="M95" s="71">
        <f>IF(L95="✅ 命中",IFERROR(INDEX(D95:H95,MATCH(1,ISNUMBER(MATCH(IF(D95:H95&lt;&gt;"",D95:H95,0),IF(I95:K95&lt;&gt;"",I95:K95,999999),0))*1,0)),""),"--")</f>
        <v/>
      </c>
      <c r="N95" s="18" t="n"/>
      <c r="O95" s="30" t="n"/>
    </row>
    <row r="96" ht="18" customHeight="1">
      <c r="A96" s="16" t="n">
        <v>92</v>
      </c>
      <c r="B96" s="116" t="n"/>
      <c r="C96" s="40" t="n"/>
      <c r="D96" s="117" t="n"/>
      <c r="E96" s="117" t="n"/>
      <c r="F96" s="117" t="n"/>
      <c r="G96" s="117" t="n"/>
      <c r="H96" s="117" t="n"/>
      <c r="I96" s="117" t="n"/>
      <c r="J96" s="117" t="n"/>
      <c r="K96" s="117" t="n"/>
      <c r="L96" s="101">
        <f>IF(COUNTA(D96:H96)=0,"",IF(SUMPRODUCT((ISNUMBER(MATCH(IF(D96:H96&lt;&gt;"",D96:H96,0),IF(I96:K96&lt;&gt;"",I96:K96,999999),0)))*1)&gt;0,"✅ 命中","❌"))</f>
        <v/>
      </c>
      <c r="M96" s="74">
        <f>IF(L96="✅ 命中",IFERROR(INDEX(D96:H96,MATCH(1,ISNUMBER(MATCH(IF(D96:H96&lt;&gt;"",D96:H96,0),IF(I96:K96&lt;&gt;"",I96:K96,999999),0))*1,0)),""),"--")</f>
        <v/>
      </c>
      <c r="N96" s="40" t="n"/>
      <c r="O96" s="36" t="n"/>
    </row>
    <row r="97" ht="18" customHeight="1">
      <c r="A97" s="16" t="n">
        <v>93</v>
      </c>
      <c r="B97" s="114" t="n"/>
      <c r="C97" s="18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00">
        <f>IF(COUNTA(D97:H97)=0,"",IF(SUMPRODUCT((ISNUMBER(MATCH(IF(D97:H97&lt;&gt;"",D97:H97,0),IF(I97:K97&lt;&gt;"",I97:K97,999999),0)))*1)&gt;0,"✅ 命中","❌"))</f>
        <v/>
      </c>
      <c r="M97" s="71">
        <f>IF(L97="✅ 命中",IFERROR(INDEX(D97:H97,MATCH(1,ISNUMBER(MATCH(IF(D97:H97&lt;&gt;"",D97:H97,0),IF(I97:K97&lt;&gt;"",I97:K97,999999),0))*1,0)),""),"--")</f>
        <v/>
      </c>
      <c r="N97" s="18" t="n"/>
      <c r="O97" s="30" t="n"/>
    </row>
    <row r="98" ht="18" customHeight="1">
      <c r="A98" s="16" t="n">
        <v>94</v>
      </c>
      <c r="B98" s="116" t="n"/>
      <c r="C98" s="40" t="n"/>
      <c r="D98" s="117" t="n"/>
      <c r="E98" s="117" t="n"/>
      <c r="F98" s="117" t="n"/>
      <c r="G98" s="117" t="n"/>
      <c r="H98" s="117" t="n"/>
      <c r="I98" s="117" t="n"/>
      <c r="J98" s="117" t="n"/>
      <c r="K98" s="117" t="n"/>
      <c r="L98" s="101">
        <f>IF(COUNTA(D98:H98)=0,"",IF(SUMPRODUCT((ISNUMBER(MATCH(IF(D98:H98&lt;&gt;"",D98:H98,0),IF(I98:K98&lt;&gt;"",I98:K98,999999),0)))*1)&gt;0,"✅ 命中","❌"))</f>
        <v/>
      </c>
      <c r="M98" s="74">
        <f>IF(L98="✅ 命中",IFERROR(INDEX(D98:H98,MATCH(1,ISNUMBER(MATCH(IF(D98:H98&lt;&gt;"",D98:H98,0),IF(I98:K98&lt;&gt;"",I98:K98,999999),0))*1,0)),""),"--")</f>
        <v/>
      </c>
      <c r="N98" s="40" t="n"/>
      <c r="O98" s="36" t="n"/>
    </row>
    <row r="99" ht="18" customHeight="1">
      <c r="A99" s="16" t="n">
        <v>95</v>
      </c>
      <c r="B99" s="114" t="n"/>
      <c r="C99" s="18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00">
        <f>IF(COUNTA(D99:H99)=0,"",IF(SUMPRODUCT((ISNUMBER(MATCH(IF(D99:H99&lt;&gt;"",D99:H99,0),IF(I99:K99&lt;&gt;"",I99:K99,999999),0)))*1)&gt;0,"✅ 命中","❌"))</f>
        <v/>
      </c>
      <c r="M99" s="71">
        <f>IF(L99="✅ 命中",IFERROR(INDEX(D99:H99,MATCH(1,ISNUMBER(MATCH(IF(D99:H99&lt;&gt;"",D99:H99,0),IF(I99:K99&lt;&gt;"",I99:K99,999999),0))*1,0)),""),"--")</f>
        <v/>
      </c>
      <c r="N99" s="18" t="n"/>
      <c r="O99" s="30" t="n"/>
    </row>
    <row r="100" ht="18" customHeight="1">
      <c r="A100" s="16" t="n">
        <v>96</v>
      </c>
      <c r="B100" s="116" t="n"/>
      <c r="C100" s="40" t="n"/>
      <c r="D100" s="117" t="n"/>
      <c r="E100" s="117" t="n"/>
      <c r="F100" s="117" t="n"/>
      <c r="G100" s="117" t="n"/>
      <c r="H100" s="117" t="n"/>
      <c r="I100" s="117" t="n"/>
      <c r="J100" s="117" t="n"/>
      <c r="K100" s="117" t="n"/>
      <c r="L100" s="101">
        <f>IF(COUNTA(D100:H100)=0,"",IF(SUMPRODUCT((ISNUMBER(MATCH(IF(D100:H100&lt;&gt;"",D100:H100,0),IF(I100:K100&lt;&gt;"",I100:K100,999999),0)))*1)&gt;0,"✅ 命中","❌"))</f>
        <v/>
      </c>
      <c r="M100" s="74">
        <f>IF(L100="✅ 命中",IFERROR(INDEX(D100:H100,MATCH(1,ISNUMBER(MATCH(IF(D100:H100&lt;&gt;"",D100:H100,0),IF(I100:K100&lt;&gt;"",I100:K100,999999),0))*1,0)),""),"--")</f>
        <v/>
      </c>
      <c r="N100" s="40" t="n"/>
      <c r="O100" s="36" t="n"/>
    </row>
    <row r="101" ht="18" customHeight="1">
      <c r="A101" s="16" t="n">
        <v>97</v>
      </c>
      <c r="B101" s="114" t="n"/>
      <c r="C101" s="18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00">
        <f>IF(COUNTA(D101:H101)=0,"",IF(SUMPRODUCT((ISNUMBER(MATCH(IF(D101:H101&lt;&gt;"",D101:H101,0),IF(I101:K101&lt;&gt;"",I101:K101,999999),0)))*1)&gt;0,"✅ 命中","❌"))</f>
        <v/>
      </c>
      <c r="M101" s="71">
        <f>IF(L101="✅ 命中",IFERROR(INDEX(D101:H101,MATCH(1,ISNUMBER(MATCH(IF(D101:H101&lt;&gt;"",D101:H101,0),IF(I101:K101&lt;&gt;"",I101:K101,999999),0))*1,0)),""),"--")</f>
        <v/>
      </c>
      <c r="N101" s="18" t="n"/>
      <c r="O101" s="30" t="n"/>
    </row>
    <row r="102" ht="18" customHeight="1">
      <c r="A102" s="16" t="n">
        <v>98</v>
      </c>
      <c r="B102" s="116" t="n"/>
      <c r="C102" s="40" t="n"/>
      <c r="D102" s="117" t="n"/>
      <c r="E102" s="117" t="n"/>
      <c r="F102" s="117" t="n"/>
      <c r="G102" s="117" t="n"/>
      <c r="H102" s="117" t="n"/>
      <c r="I102" s="117" t="n"/>
      <c r="J102" s="117" t="n"/>
      <c r="K102" s="117" t="n"/>
      <c r="L102" s="101">
        <f>IF(COUNTA(D102:H102)=0,"",IF(SUMPRODUCT((ISNUMBER(MATCH(IF(D102:H102&lt;&gt;"",D102:H102,0),IF(I102:K102&lt;&gt;"",I102:K102,999999),0)))*1)&gt;0,"✅ 命中","❌"))</f>
        <v/>
      </c>
      <c r="M102" s="74">
        <f>IF(L102="✅ 命中",IFERROR(INDEX(D102:H102,MATCH(1,ISNUMBER(MATCH(IF(D102:H102&lt;&gt;"",D102:H102,0),IF(I102:K102&lt;&gt;"",I102:K102,999999),0))*1,0)),""),"--")</f>
        <v/>
      </c>
      <c r="N102" s="40" t="n"/>
      <c r="O102" s="36" t="n"/>
    </row>
    <row r="103" ht="18" customHeight="1">
      <c r="A103" s="16" t="n">
        <v>99</v>
      </c>
      <c r="B103" s="114" t="n"/>
      <c r="C103" s="18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00">
        <f>IF(COUNTA(D103:H103)=0,"",IF(SUMPRODUCT((ISNUMBER(MATCH(IF(D103:H103&lt;&gt;"",D103:H103,0),IF(I103:K103&lt;&gt;"",I103:K103,999999),0)))*1)&gt;0,"✅ 命中","❌"))</f>
        <v/>
      </c>
      <c r="M103" s="71">
        <f>IF(L103="✅ 命中",IFERROR(INDEX(D103:H103,MATCH(1,ISNUMBER(MATCH(IF(D103:H103&lt;&gt;"",D103:H103,0),IF(I103:K103&lt;&gt;"",I103:K103,999999),0))*1,0)),""),"--")</f>
        <v/>
      </c>
      <c r="N103" s="18" t="n"/>
      <c r="O103" s="30" t="n"/>
    </row>
    <row r="104" ht="18" customHeight="1">
      <c r="A104" s="16" t="n">
        <v>100</v>
      </c>
      <c r="B104" s="116" t="n"/>
      <c r="C104" s="40" t="n"/>
      <c r="D104" s="117" t="n"/>
      <c r="E104" s="117" t="n"/>
      <c r="F104" s="117" t="n"/>
      <c r="G104" s="117" t="n"/>
      <c r="H104" s="117" t="n"/>
      <c r="I104" s="117" t="n"/>
      <c r="J104" s="117" t="n"/>
      <c r="K104" s="117" t="n"/>
      <c r="L104" s="101">
        <f>IF(COUNTA(D104:H104)=0,"",IF(SUMPRODUCT((ISNUMBER(MATCH(IF(D104:H104&lt;&gt;"",D104:H104,0),IF(I104:K104&lt;&gt;"",I104:K104,999999),0)))*1)&gt;0,"✅ 命中","❌"))</f>
        <v/>
      </c>
      <c r="M104" s="74">
        <f>IF(L104="✅ 命中",IFERROR(INDEX(D104:H104,MATCH(1,ISNUMBER(MATCH(IF(D104:H104&lt;&gt;"",D104:H104,0),IF(I104:K104&lt;&gt;"",I104:K104,999999),0))*1,0)),""),"--")</f>
        <v/>
      </c>
      <c r="N104" s="40" t="n"/>
      <c r="O104" s="36" t="n"/>
    </row>
  </sheetData>
  <mergeCells count="4">
    <mergeCell ref="I3:K3"/>
    <mergeCell ref="A2:O2"/>
    <mergeCell ref="Q2:R2"/>
    <mergeCell ref="D3:H3"/>
  </mergeCells>
  <dataValidations count="2">
    <dataValidation sqref="C5:C104" showDropDown="0" showInputMessage="0" showErrorMessage="0" allowBlank="1" type="list">
      <formula1>"万能,跑马,多多,新加坡,豪龙"</formula1>
    </dataValidation>
    <dataValidation sqref="N5:N104" showDropDown="0" showInputMessage="0" showErrorMessage="0" allowBlank="1" type="list">
      <formula1>"数根链,配对分析,冷热库,四步向导,工作台,点数区间,条件筛选,人工判断,其他"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C3AED"/>
    <outlinePr summaryBelow="1" summaryRight="1"/>
    <pageSetUpPr/>
  </sheetPr>
  <dimension ref="A2:G23"/>
  <sheetViews>
    <sheetView showGridLines="0" workbookViewId="0">
      <selection activeCell="A1" sqref="A1"/>
    </sheetView>
  </sheetViews>
  <sheetFormatPr baseColWidth="8" defaultColWidth="9" defaultRowHeight="15.75"/>
  <cols>
    <col width="5" customWidth="1" min="1" max="1"/>
    <col width="18" customWidth="1" min="2" max="2"/>
    <col width="12" customWidth="1" min="3" max="6"/>
    <col width="20" customWidth="1" min="7" max="7"/>
    <col width="5" customWidth="1" min="8" max="8"/>
    <col width="18" customWidth="1" min="9" max="9"/>
    <col width="12" customWidth="1" min="10" max="12"/>
  </cols>
  <sheetData>
    <row r="1" ht="8" customHeight="1"/>
    <row r="2" ht="34" customHeight="1">
      <c r="A2" s="53" t="inlineStr">
        <is>
          <t>🔬 方法验证表 — 哪个方法真的有效？</t>
        </is>
      </c>
    </row>
    <row r="3" ht="20" customHeight="1">
      <c r="A3" s="80" t="inlineStr">
        <is>
          <t>数据自动从「命中追踪」表读取 · 不需手动更新</t>
        </is>
      </c>
    </row>
    <row r="4" ht="8" customHeight="1"/>
    <row r="5" ht="22" customHeight="1">
      <c r="A5" s="64" t="inlineStr">
        <is>
          <t>#</t>
        </is>
      </c>
      <c r="B5" s="64" t="inlineStr">
        <is>
          <t>方法名称</t>
        </is>
      </c>
      <c r="C5" s="65" t="inlineStr">
        <is>
          <t>使用次数</t>
        </is>
      </c>
      <c r="D5" s="66" t="inlineStr">
        <is>
          <t>命中次数</t>
        </is>
      </c>
      <c r="E5" s="66" t="inlineStr">
        <is>
          <t>命中率</t>
        </is>
      </c>
      <c r="F5" s="68" t="inlineStr">
        <is>
          <t>评分</t>
        </is>
      </c>
      <c r="G5" s="64" t="inlineStr">
        <is>
          <t>建议</t>
        </is>
      </c>
    </row>
    <row r="6" ht="22" customHeight="1">
      <c r="A6" s="16" t="n">
        <v>1</v>
      </c>
      <c r="B6" s="81" t="inlineStr">
        <is>
          <t>数根链</t>
        </is>
      </c>
      <c r="C6" s="70">
        <f>COUNTIF('📌 命中追踪'!N5:N104,"数根链")</f>
        <v/>
      </c>
      <c r="D6" s="71">
        <f>COUNTIFS('📌 命中追踪'!N5:N104,"数根链",'📌 命中追踪'!L5:L104,"✅ 命中")</f>
        <v/>
      </c>
      <c r="E6" s="120">
        <f>IFERROR(D6/C6,0)</f>
        <v/>
      </c>
      <c r="F6" s="82">
        <f>IFERROR(IF(C6&lt;3,"样本不足",IF(E6&gt;=0.3,"★★★ 优秀",IF(E6&gt;=0.2,"★★ 良好",IF(E6&gt;=0.1,"★ 普通","✗ 效果差")))),"—")</f>
        <v/>
      </c>
      <c r="G6" s="83">
        <f>IFERROR(IF(C6&lt;3,"需更多数据",IF(E6&gt;=0.3,"继续使用",IF(E6&gt;=0.15,"保持观察",IF(E6&lt;0.08,"考虑停用","维持现状")))),"—")</f>
        <v/>
      </c>
    </row>
    <row r="7" ht="22" customHeight="1">
      <c r="A7" s="16" t="n">
        <v>2</v>
      </c>
      <c r="B7" s="84" t="inlineStr">
        <is>
          <t>配对分析</t>
        </is>
      </c>
      <c r="C7" s="73">
        <f>COUNTIF('📌 命中追踪'!N5:N104,"配对分析")</f>
        <v/>
      </c>
      <c r="D7" s="74">
        <f>COUNTIFS('📌 命中追踪'!N5:N104,"配对分析",'📌 命中追踪'!L5:L104,"✅ 命中")</f>
        <v/>
      </c>
      <c r="E7" s="121">
        <f>IFERROR(D7/C7,0)</f>
        <v/>
      </c>
      <c r="F7" s="85">
        <f>IFERROR(IF(C7&lt;3,"样本不足",IF(E7&gt;=0.3,"★★★ 优秀",IF(E7&gt;=0.2,"★★ 良好",IF(E7&gt;=0.1,"★ 普通","✗ 效果差")))),"—")</f>
        <v/>
      </c>
      <c r="G7" s="86">
        <f>IFERROR(IF(C7&lt;3,"需更多数据",IF(E7&gt;=0.3,"继续使用",IF(E7&gt;=0.15,"保持观察",IF(E7&lt;0.08,"考虑停用","维持现状")))),"—")</f>
        <v/>
      </c>
    </row>
    <row r="8" ht="22" customHeight="1">
      <c r="A8" s="16" t="n">
        <v>3</v>
      </c>
      <c r="B8" s="81" t="inlineStr">
        <is>
          <t>冷热库</t>
        </is>
      </c>
      <c r="C8" s="70">
        <f>COUNTIF('📌 命中追踪'!N5:N104,"冷热库")</f>
        <v/>
      </c>
      <c r="D8" s="71">
        <f>COUNTIFS('📌 命中追踪'!N5:N104,"冷热库",'📌 命中追踪'!L5:L104,"✅ 命中")</f>
        <v/>
      </c>
      <c r="E8" s="120">
        <f>IFERROR(D8/C8,0)</f>
        <v/>
      </c>
      <c r="F8" s="82">
        <f>IFERROR(IF(C8&lt;3,"样本不足",IF(E8&gt;=0.3,"★★★ 优秀",IF(E8&gt;=0.2,"★★ 良好",IF(E8&gt;=0.1,"★ 普通","✗ 效果差")))),"—")</f>
        <v/>
      </c>
      <c r="G8" s="83">
        <f>IFERROR(IF(C8&lt;3,"需更多数据",IF(E8&gt;=0.3,"继续使用",IF(E8&gt;=0.15,"保持观察",IF(E8&lt;0.08,"考虑停用","维持现状")))),"—")</f>
        <v/>
      </c>
    </row>
    <row r="9" ht="22" customHeight="1">
      <c r="A9" s="16" t="n">
        <v>4</v>
      </c>
      <c r="B9" s="84" t="inlineStr">
        <is>
          <t>四步向导</t>
        </is>
      </c>
      <c r="C9" s="73">
        <f>COUNTIF('📌 命中追踪'!N5:N104,"四步向导")</f>
        <v/>
      </c>
      <c r="D9" s="74">
        <f>COUNTIFS('📌 命中追踪'!N5:N104,"四步向导",'📌 命中追踪'!L5:L104,"✅ 命中")</f>
        <v/>
      </c>
      <c r="E9" s="121">
        <f>IFERROR(D9/C9,0)</f>
        <v/>
      </c>
      <c r="F9" s="85">
        <f>IFERROR(IF(C9&lt;3,"样本不足",IF(E9&gt;=0.3,"★★★ 优秀",IF(E9&gt;=0.2,"★★ 良好",IF(E9&gt;=0.1,"★ 普通","✗ 效果差")))),"—")</f>
        <v/>
      </c>
      <c r="G9" s="86">
        <f>IFERROR(IF(C9&lt;3,"需更多数据",IF(E9&gt;=0.3,"继续使用",IF(E9&gt;=0.15,"保持观察",IF(E9&lt;0.08,"考虑停用","维持现状")))),"—")</f>
        <v/>
      </c>
    </row>
    <row r="10" ht="22" customHeight="1">
      <c r="A10" s="16" t="n">
        <v>5</v>
      </c>
      <c r="B10" s="81" t="inlineStr">
        <is>
          <t>工作台</t>
        </is>
      </c>
      <c r="C10" s="70">
        <f>COUNTIF('📌 命中追踪'!N5:N104,"工作台")</f>
        <v/>
      </c>
      <c r="D10" s="71">
        <f>COUNTIFS('📌 命中追踪'!N5:N104,"工作台",'📌 命中追踪'!L5:L104,"✅ 命中")</f>
        <v/>
      </c>
      <c r="E10" s="120">
        <f>IFERROR(D10/C10,0)</f>
        <v/>
      </c>
      <c r="F10" s="82">
        <f>IFERROR(IF(C10&lt;3,"样本不足",IF(E10&gt;=0.3,"★★★ 优秀",IF(E10&gt;=0.2,"★★ 良好",IF(E10&gt;=0.1,"★ 普通","✗ 效果差")))),"—")</f>
        <v/>
      </c>
      <c r="G10" s="83">
        <f>IFERROR(IF(C10&lt;3,"需更多数据",IF(E10&gt;=0.3,"继续使用",IF(E10&gt;=0.15,"保持观察",IF(E10&lt;0.08,"考虑停用","维持现状")))),"—")</f>
        <v/>
      </c>
    </row>
    <row r="11" ht="22" customHeight="1">
      <c r="A11" s="16" t="n">
        <v>6</v>
      </c>
      <c r="B11" s="84" t="inlineStr">
        <is>
          <t>点数区间</t>
        </is>
      </c>
      <c r="C11" s="73">
        <f>COUNTIF('📌 命中追踪'!N5:N104,"点数区间")</f>
        <v/>
      </c>
      <c r="D11" s="74">
        <f>COUNTIFS('📌 命中追踪'!N5:N104,"点数区间",'📌 命中追踪'!L5:L104,"✅ 命中")</f>
        <v/>
      </c>
      <c r="E11" s="121">
        <f>IFERROR(D11/C11,0)</f>
        <v/>
      </c>
      <c r="F11" s="85">
        <f>IFERROR(IF(C11&lt;3,"样本不足",IF(E11&gt;=0.3,"★★★ 优秀",IF(E11&gt;=0.2,"★★ 良好",IF(E11&gt;=0.1,"★ 普通","✗ 效果差")))),"—")</f>
        <v/>
      </c>
      <c r="G11" s="86">
        <f>IFERROR(IF(C11&lt;3,"需更多数据",IF(E11&gt;=0.3,"继续使用",IF(E11&gt;=0.15,"保持观察",IF(E11&lt;0.08,"考虑停用","维持现状")))),"—")</f>
        <v/>
      </c>
    </row>
    <row r="12" ht="22" customHeight="1">
      <c r="A12" s="16" t="n">
        <v>7</v>
      </c>
      <c r="B12" s="81" t="inlineStr">
        <is>
          <t>条件筛选</t>
        </is>
      </c>
      <c r="C12" s="70">
        <f>COUNTIF('📌 命中追踪'!N5:N104,"条件筛选")</f>
        <v/>
      </c>
      <c r="D12" s="71">
        <f>COUNTIFS('📌 命中追踪'!N5:N104,"条件筛选",'📌 命中追踪'!L5:L104,"✅ 命中")</f>
        <v/>
      </c>
      <c r="E12" s="120">
        <f>IFERROR(D12/C12,0)</f>
        <v/>
      </c>
      <c r="F12" s="82">
        <f>IFERROR(IF(C12&lt;3,"样本不足",IF(E12&gt;=0.3,"★★★ 优秀",IF(E12&gt;=0.2,"★★ 良好",IF(E12&gt;=0.1,"★ 普通","✗ 效果差")))),"—")</f>
        <v/>
      </c>
      <c r="G12" s="83">
        <f>IFERROR(IF(C12&lt;3,"需更多数据",IF(E12&gt;=0.3,"继续使用",IF(E12&gt;=0.15,"保持观察",IF(E12&lt;0.08,"考虑停用","维持现状")))),"—")</f>
        <v/>
      </c>
    </row>
    <row r="13" ht="22" customHeight="1">
      <c r="A13" s="16" t="n">
        <v>8</v>
      </c>
      <c r="B13" s="84" t="inlineStr">
        <is>
          <t>人工判断</t>
        </is>
      </c>
      <c r="C13" s="73">
        <f>COUNTIF('📌 命中追踪'!N5:N104,"人工判断")</f>
        <v/>
      </c>
      <c r="D13" s="74">
        <f>COUNTIFS('📌 命中追踪'!N5:N104,"人工判断",'📌 命中追踪'!L5:L104,"✅ 命中")</f>
        <v/>
      </c>
      <c r="E13" s="121">
        <f>IFERROR(D13/C13,0)</f>
        <v/>
      </c>
      <c r="F13" s="85">
        <f>IFERROR(IF(C13&lt;3,"样本不足",IF(E13&gt;=0.3,"★★★ 优秀",IF(E13&gt;=0.2,"★★ 良好",IF(E13&gt;=0.1,"★ 普通","✗ 效果差")))),"—")</f>
        <v/>
      </c>
      <c r="G13" s="86">
        <f>IFERROR(IF(C13&lt;3,"需更多数据",IF(E13&gt;=0.3,"继续使用",IF(E13&gt;=0.15,"保持观察",IF(E13&lt;0.08,"考虑停用","维持现状")))),"—")</f>
        <v/>
      </c>
    </row>
    <row r="14" ht="22" customHeight="1">
      <c r="A14" s="16" t="n">
        <v>9</v>
      </c>
      <c r="B14" s="81" t="inlineStr">
        <is>
          <t>其他</t>
        </is>
      </c>
      <c r="C14" s="70">
        <f>COUNTIF('📌 命中追踪'!N5:N104,"其他")</f>
        <v/>
      </c>
      <c r="D14" s="71">
        <f>COUNTIFS('📌 命中追踪'!N5:N104,"其他",'📌 命中追踪'!L5:L104,"✅ 命中")</f>
        <v/>
      </c>
      <c r="E14" s="120">
        <f>IFERROR(D14/C14,0)</f>
        <v/>
      </c>
      <c r="F14" s="82">
        <f>IFERROR(IF(C14&lt;3,"样本不足",IF(E14&gt;=0.3,"★★★ 优秀",IF(E14&gt;=0.2,"★★ 良好",IF(E14&gt;=0.1,"★ 普通","✗ 效果差")))),"—")</f>
        <v/>
      </c>
      <c r="G14" s="83">
        <f>IFERROR(IF(C14&lt;3,"需更多数据",IF(E14&gt;=0.3,"继续使用",IF(E14&gt;=0.15,"保持观察",IF(E14&lt;0.08,"考虑停用","维持现状")))),"—")</f>
        <v/>
      </c>
    </row>
    <row r="15" ht="22" customHeight="1">
      <c r="A15" s="87" t="inlineStr"/>
      <c r="B15" s="88" t="inlineStr">
        <is>
          <t>全部方法合计</t>
        </is>
      </c>
      <c r="C15" s="10">
        <f>SUM(C6:C14)</f>
        <v/>
      </c>
      <c r="D15" s="10">
        <f>SUM(D6:D14)</f>
        <v/>
      </c>
      <c r="E15" s="122">
        <f>IFERROR(D15/C15,0)</f>
        <v/>
      </c>
      <c r="F15" s="90" t="n"/>
      <c r="G15" s="90" t="n"/>
    </row>
    <row r="17" ht="34" customHeight="1">
      <c r="A17" s="77" t="inlineStr">
        <is>
          <t>🏪 各市场命中表现</t>
        </is>
      </c>
    </row>
    <row r="18" ht="22" customHeight="1">
      <c r="A18" s="66" t="inlineStr">
        <is>
          <t>#</t>
        </is>
      </c>
      <c r="B18" s="66" t="inlineStr">
        <is>
          <t>市场</t>
        </is>
      </c>
      <c r="C18" s="66" t="inlineStr">
        <is>
          <t>使用次数</t>
        </is>
      </c>
      <c r="D18" s="66" t="inlineStr">
        <is>
          <t>命中次数</t>
        </is>
      </c>
      <c r="E18" s="66" t="inlineStr">
        <is>
          <t>命中率</t>
        </is>
      </c>
      <c r="F18" s="66" t="inlineStr">
        <is>
          <t>最近命中</t>
        </is>
      </c>
      <c r="G18" s="66" t="inlineStr">
        <is>
          <t>评分</t>
        </is>
      </c>
    </row>
    <row r="19" ht="22" customHeight="1">
      <c r="A19" s="16" t="n">
        <v>1</v>
      </c>
      <c r="B19" s="81" t="inlineStr">
        <is>
          <t>万能</t>
        </is>
      </c>
      <c r="C19" s="70">
        <f>COUNTIF('📌 命中追踪'!C5:C104,"万能")</f>
        <v/>
      </c>
      <c r="D19" s="71">
        <f>COUNTIFS('📌 命中追踪'!C5:C104,"万能",'📌 命中追踪'!L5:L104,"✅ 命中")</f>
        <v/>
      </c>
      <c r="E19" s="120">
        <f>IFERROR(D19/C19,0)</f>
        <v/>
      </c>
      <c r="F19" s="123">
        <f>IFERROR(_xlfn.MAXIFS('📌 命中追踪'!B5:B104,'📌 命中追踪'!C5:C104,"万能",'📌 命中追踪'!L5:L104,"✅ 命中"),"—")</f>
        <v/>
      </c>
      <c r="G19" s="82">
        <f>IFERROR(IF(C19&lt;3,"样本不足",IF(E19&gt;=0.3,"★★★",IF(E19&gt;=0.2,"★★",IF(E19&gt;=0.1,"★","✗")))),"—")</f>
        <v/>
      </c>
    </row>
    <row r="20" ht="22" customHeight="1">
      <c r="A20" s="16" t="n">
        <v>2</v>
      </c>
      <c r="B20" s="84" t="inlineStr">
        <is>
          <t>跑马</t>
        </is>
      </c>
      <c r="C20" s="73">
        <f>COUNTIF('📌 命中追踪'!C5:C104,"跑马")</f>
        <v/>
      </c>
      <c r="D20" s="74">
        <f>COUNTIFS('📌 命中追踪'!C5:C104,"跑马",'📌 命中追踪'!L5:L104,"✅ 命中")</f>
        <v/>
      </c>
      <c r="E20" s="121">
        <f>IFERROR(D20/C20,0)</f>
        <v/>
      </c>
      <c r="F20" s="124">
        <f>IFERROR(_xlfn.MAXIFS('📌 命中追踪'!B5:B104,'📌 命中追踪'!C5:C104,"跑马",'📌 命中追踪'!L5:L104,"✅ 命中"),"—")</f>
        <v/>
      </c>
      <c r="G20" s="85">
        <f>IFERROR(IF(C20&lt;3,"样本不足",IF(E20&gt;=0.3,"★★★",IF(E20&gt;=0.2,"★★",IF(E20&gt;=0.1,"★","✗")))),"—")</f>
        <v/>
      </c>
    </row>
    <row r="21" ht="22" customHeight="1">
      <c r="A21" s="16" t="n">
        <v>3</v>
      </c>
      <c r="B21" s="81" t="inlineStr">
        <is>
          <t>多多</t>
        </is>
      </c>
      <c r="C21" s="70">
        <f>COUNTIF('📌 命中追踪'!C5:C104,"多多")</f>
        <v/>
      </c>
      <c r="D21" s="71">
        <f>COUNTIFS('📌 命中追踪'!C5:C104,"多多",'📌 命中追踪'!L5:L104,"✅ 命中")</f>
        <v/>
      </c>
      <c r="E21" s="120">
        <f>IFERROR(D21/C21,0)</f>
        <v/>
      </c>
      <c r="F21" s="123">
        <f>IFERROR(_xlfn.MAXIFS('📌 命中追踪'!B5:B104,'📌 命中追踪'!C5:C104,"多多",'📌 命中追踪'!L5:L104,"✅ 命中"),"—")</f>
        <v/>
      </c>
      <c r="G21" s="82">
        <f>IFERROR(IF(C21&lt;3,"样本不足",IF(E21&gt;=0.3,"★★★",IF(E21&gt;=0.2,"★★",IF(E21&gt;=0.1,"★","✗")))),"—")</f>
        <v/>
      </c>
    </row>
    <row r="22" ht="22" customHeight="1">
      <c r="A22" s="16" t="n">
        <v>4</v>
      </c>
      <c r="B22" s="84" t="inlineStr">
        <is>
          <t>新加坡</t>
        </is>
      </c>
      <c r="C22" s="73">
        <f>COUNTIF('📌 命中追踪'!C5:C104,"新加坡")</f>
        <v/>
      </c>
      <c r="D22" s="74">
        <f>COUNTIFS('📌 命中追踪'!C5:C104,"新加坡",'📌 命中追踪'!L5:L104,"✅ 命中")</f>
        <v/>
      </c>
      <c r="E22" s="121">
        <f>IFERROR(D22/C22,0)</f>
        <v/>
      </c>
      <c r="F22" s="124">
        <f>IFERROR(_xlfn.MAXIFS('📌 命中追踪'!B5:B104,'📌 命中追踪'!C5:C104,"新加坡",'📌 命中追踪'!L5:L104,"✅ 命中"),"—")</f>
        <v/>
      </c>
      <c r="G22" s="85">
        <f>IFERROR(IF(C22&lt;3,"样本不足",IF(E22&gt;=0.3,"★★★",IF(E22&gt;=0.2,"★★",IF(E22&gt;=0.1,"★","✗")))),"—")</f>
        <v/>
      </c>
    </row>
    <row r="23" ht="22" customHeight="1">
      <c r="A23" s="16" t="n">
        <v>5</v>
      </c>
      <c r="B23" s="81" t="inlineStr">
        <is>
          <t>豪龙</t>
        </is>
      </c>
      <c r="C23" s="70">
        <f>COUNTIF('📌 命中追踪'!C5:C104,"豪龙")</f>
        <v/>
      </c>
      <c r="D23" s="71">
        <f>COUNTIFS('📌 命中追踪'!C5:C104,"豪龙",'📌 命中追踪'!L5:L104,"✅ 命中")</f>
        <v/>
      </c>
      <c r="E23" s="120">
        <f>IFERROR(D23/C23,0)</f>
        <v/>
      </c>
      <c r="F23" s="123">
        <f>IFERROR(_xlfn.MAXIFS('📌 命中追踪'!B5:B104,'📌 命中追踪'!C5:C104,"豪龙",'📌 命中追踪'!L5:L104,"✅ 命中"),"—")</f>
        <v/>
      </c>
      <c r="G23" s="82">
        <f>IFERROR(IF(C23&lt;3,"样本不足",IF(E23&gt;=0.3,"★★★",IF(E23&gt;=0.2,"★★",IF(E23&gt;=0.1,"★","✗")))),"—")</f>
        <v/>
      </c>
    </row>
  </sheetData>
  <mergeCells count="3">
    <mergeCell ref="A3:G3"/>
    <mergeCell ref="A2:G2"/>
    <mergeCell ref="A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6A34A"/>
    <outlinePr summaryBelow="1" summaryRight="1"/>
    <pageSetUpPr/>
  </sheetPr>
  <dimension ref="A2:H37"/>
  <sheetViews>
    <sheetView showGridLines="0" workbookViewId="0">
      <selection activeCell="A1" sqref="A1"/>
    </sheetView>
  </sheetViews>
  <sheetFormatPr baseColWidth="8" defaultColWidth="9" defaultRowHeight="15.75"/>
  <cols>
    <col width="5" customWidth="1" min="1" max="1"/>
    <col width="14" customWidth="1" min="2" max="2"/>
    <col width="12" customWidth="1" min="3" max="7"/>
    <col width="14" customWidth="1" min="8" max="8"/>
    <col width="5" customWidth="1" min="9" max="9"/>
    <col width="18" customWidth="1" min="10" max="10"/>
    <col width="12" customWidth="1" min="11" max="11"/>
  </cols>
  <sheetData>
    <row r="1" ht="8" customHeight="1"/>
    <row r="2" ht="34" customHeight="1">
      <c r="A2" s="53" t="inlineStr">
        <is>
          <t>📊 月度总结 — 每月命中率追踪</t>
        </is>
      </c>
    </row>
    <row r="3" ht="20" customHeight="1">
      <c r="A3" s="63" t="inlineStr">
        <is>
          <t>请在B列手动填入月份（格式：2026-01），其余列自动计算</t>
        </is>
      </c>
    </row>
    <row r="4" ht="8" customHeight="1"/>
    <row r="5" ht="22" customHeight="1">
      <c r="A5" s="64" t="inlineStr">
        <is>
          <t>#</t>
        </is>
      </c>
      <c r="B5" s="64" t="inlineStr">
        <is>
          <t>月份</t>
        </is>
      </c>
      <c r="C5" s="65" t="inlineStr">
        <is>
          <t>总期数</t>
        </is>
      </c>
      <c r="D5" s="65" t="inlineStr">
        <is>
          <t>有记录</t>
        </is>
      </c>
      <c r="E5" s="66" t="inlineStr">
        <is>
          <t>命中次数</t>
        </is>
      </c>
      <c r="F5" s="66" t="inlineStr">
        <is>
          <t>命中率</t>
        </is>
      </c>
      <c r="G5" s="67" t="inlineStr">
        <is>
          <t>最佳方法</t>
        </is>
      </c>
      <c r="H5" s="68" t="inlineStr">
        <is>
          <t>趋势</t>
        </is>
      </c>
    </row>
    <row r="6" ht="20" customHeight="1">
      <c r="A6" s="16" t="n">
        <v>1</v>
      </c>
      <c r="B6" s="69" t="n"/>
      <c r="C6" s="70">
        <f>IF(B6="","",SUMPRODUCT((TEXT('📌 命中追踪'!B5:B104,"YYYY-MM")=TEXT(B6,"YYYY-MM"))*1))</f>
        <v/>
      </c>
      <c r="D6" s="70">
        <f>IF(B6="","",SUMPRODUCT((TEXT('📌 命中追踪'!B5:B104,"YYYY-MM")=TEXT(B6,"YYYY-MM"))*('📌 命中追踪'!L5:L104&lt;&gt;"")))</f>
        <v/>
      </c>
      <c r="E6" s="71">
        <f>IF(B6="","",SUMPRODUCT((TEXT('📌 命中追踪'!B5:B104,"YYYY-MM")=TEXT(B6,"YYYY-MM"))*('📌 命中追踪'!L5:L104="✅ 命中")))</f>
        <v/>
      </c>
      <c r="F6" s="120">
        <f>IFERROR(E6/D6,"")</f>
        <v/>
      </c>
      <c r="G6" s="29">
        <f>IF(B6="","",LET(mon,TEXT(B6,"YYYY-MM"),names,{"数根链","配对分析","冷热库","四步向导","工作台","点数区间","条件筛选","人工判断","其他"},base,(TEXT('📌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6" s="70">
        <f>IF(OR(B6="",F6=""),"",IF(ROW()=6,"—",IF(F5="","—",IF(F6&gt;F5,"📈 上升",IF(F6&lt;F5,"📉 下降","➡ 持平")))))</f>
        <v/>
      </c>
    </row>
    <row r="7" ht="20" customHeight="1">
      <c r="A7" s="16" t="n">
        <v>2</v>
      </c>
      <c r="B7" s="69" t="n"/>
      <c r="C7" s="73">
        <f>IF(B7="","",SUMPRODUCT((TEXT('📌 命中追踪'!B5:B104,"YYYY-MM")=TEXT(B7,"YYYY-MM"))*1))</f>
        <v/>
      </c>
      <c r="D7" s="73">
        <f>IF(B7="","",SUMPRODUCT((TEXT('📌 命中追踪'!B5:B104,"YYYY-MM")=TEXT(B7,"YYYY-MM"))*('📌 命中追踪'!L5:L104&lt;&gt;"")))</f>
        <v/>
      </c>
      <c r="E7" s="74">
        <f>IF(B7="","",SUMPRODUCT((TEXT('📌 命中追踪'!B5:B104,"YYYY-MM")=TEXT(B7,"YYYY-MM"))*('📌 命中追踪'!L5:L104="✅ 命中")))</f>
        <v/>
      </c>
      <c r="F7" s="121">
        <f>IFERROR(E7/D7,"")</f>
        <v/>
      </c>
      <c r="G7" s="76">
        <f>IF(B7="","",LET(mon,TEXT(B7,"YYYY-MM"),names,{"数根链","配对分析","冷热库","四步向导","工作台","点数区间","条件筛选","人工判断","其他"},base,(TEXT('📌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7" s="73">
        <f>IF(OR(B7="",F7=""),"",IF(ROW()=6,"—",IF(F6="","—",IF(F7&gt;F6,"📈 上升",IF(F7&lt;F6,"📉 下降","➡ 持平")))))</f>
        <v/>
      </c>
    </row>
    <row r="8" ht="20" customHeight="1">
      <c r="A8" s="16" t="n">
        <v>3</v>
      </c>
      <c r="B8" s="69" t="n"/>
      <c r="C8" s="70">
        <f>IF(B8="","",SUMPRODUCT((TEXT('📌 命中追踪'!B5:B104,"YYYY-MM")=TEXT(B8,"YYYY-MM"))*1))</f>
        <v/>
      </c>
      <c r="D8" s="70">
        <f>IF(B8="","",SUMPRODUCT((TEXT('📌 命中追踪'!B5:B104,"YYYY-MM")=TEXT(B8,"YYYY-MM"))*('📌 命中追踪'!L5:L104&lt;&gt;"")))</f>
        <v/>
      </c>
      <c r="E8" s="71">
        <f>IF(B8="","",SUMPRODUCT((TEXT('📌 命中追踪'!B5:B104,"YYYY-MM")=TEXT(B8,"YYYY-MM"))*('📌 命中追踪'!L5:L104="✅ 命中")))</f>
        <v/>
      </c>
      <c r="F8" s="120">
        <f>IFERROR(E8/D8,"")</f>
        <v/>
      </c>
      <c r="G8" s="29">
        <f>IF(B8="","",LET(mon,TEXT(B8,"YYYY-MM"),names,{"数根链","配对分析","冷热库","四步向导","工作台","点数区间","条件筛选","人工判断","其他"},base,(TEXT('📌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8" s="70">
        <f>IF(OR(B8="",F8=""),"",IF(ROW()=6,"—",IF(F7="","—",IF(F8&gt;F7,"📈 上升",IF(F8&lt;F7,"📉 下降","➡ 持平")))))</f>
        <v/>
      </c>
    </row>
    <row r="9" ht="20" customHeight="1">
      <c r="A9" s="16" t="n">
        <v>4</v>
      </c>
      <c r="B9" s="69" t="n"/>
      <c r="C9" s="73">
        <f>IF(B9="","",SUMPRODUCT((TEXT('📌 命中追踪'!B5:B104,"YYYY-MM")=TEXT(B9,"YYYY-MM"))*1))</f>
        <v/>
      </c>
      <c r="D9" s="73">
        <f>IF(B9="","",SUMPRODUCT((TEXT('📌 命中追踪'!B5:B104,"YYYY-MM")=TEXT(B9,"YYYY-MM"))*('📌 命中追踪'!L5:L104&lt;&gt;"")))</f>
        <v/>
      </c>
      <c r="E9" s="74">
        <f>IF(B9="","",SUMPRODUCT((TEXT('📌 命中追踪'!B5:B104,"YYYY-MM")=TEXT(B9,"YYYY-MM"))*('📌 命中追踪'!L5:L104="✅ 命中")))</f>
        <v/>
      </c>
      <c r="F9" s="121">
        <f>IFERROR(E9/D9,"")</f>
        <v/>
      </c>
      <c r="G9" s="76">
        <f>IF(B9="","",LET(mon,TEXT(B9,"YYYY-MM"),names,{"数根链","配对分析","冷热库","四步向导","工作台","点数区间","条件筛选","人工判断","其他"},base,(TEXT('📌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9" s="73">
        <f>IF(OR(B9="",F9=""),"",IF(ROW()=6,"—",IF(F8="","—",IF(F9&gt;F8,"📈 上升",IF(F9&lt;F8,"📉 下降","➡ 持平")))))</f>
        <v/>
      </c>
    </row>
    <row r="10" ht="20" customHeight="1">
      <c r="A10" s="16" t="n">
        <v>5</v>
      </c>
      <c r="B10" s="69" t="n"/>
      <c r="C10" s="70">
        <f>IF(B10="","",SUMPRODUCT((TEXT('📌 命中追踪'!B5:B104,"YYYY-MM")=TEXT(B10,"YYYY-MM"))*1))</f>
        <v/>
      </c>
      <c r="D10" s="70">
        <f>IF(B10="","",SUMPRODUCT((TEXT('📌 命中追踪'!B5:B104,"YYYY-MM")=TEXT(B10,"YYYY-MM"))*('📌 命中追踪'!L5:L104&lt;&gt;"")))</f>
        <v/>
      </c>
      <c r="E10" s="71">
        <f>IF(B10="","",SUMPRODUCT((TEXT('📌 命中追踪'!B5:B104,"YYYY-MM")=TEXT(B10,"YYYY-MM"))*('📌 命中追踪'!L5:L104="✅ 命中")))</f>
        <v/>
      </c>
      <c r="F10" s="120">
        <f>IFERROR(E10/D10,"")</f>
        <v/>
      </c>
      <c r="G10" s="29">
        <f>IF(B10="","",LET(mon,TEXT(B10,"YYYY-MM"),names,{"数根链","配对分析","冷热库","四步向导","工作台","点数区间","条件筛选","人工判断","其他"},base,(TEXT('📌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10" s="70">
        <f>IF(OR(B10="",F10=""),"",IF(ROW()=6,"—",IF(F9="","—",IF(F10&gt;F9,"📈 上升",IF(F10&lt;F9,"📉 下降","➡ 持平")))))</f>
        <v/>
      </c>
    </row>
    <row r="11" ht="20" customHeight="1">
      <c r="A11" s="16" t="n">
        <v>6</v>
      </c>
      <c r="B11" s="69" t="n"/>
      <c r="C11" s="73">
        <f>IF(B11="","",SUMPRODUCT((TEXT('📌 命中追踪'!B5:B104,"YYYY-MM")=TEXT(B11,"YYYY-MM"))*1))</f>
        <v/>
      </c>
      <c r="D11" s="73">
        <f>IF(B11="","",SUMPRODUCT((TEXT('📌 命中追踪'!B5:B104,"YYYY-MM")=TEXT(B11,"YYYY-MM"))*('📌 命中追踪'!L5:L104&lt;&gt;"")))</f>
        <v/>
      </c>
      <c r="E11" s="74">
        <f>IF(B11="","",SUMPRODUCT((TEXT('📌 命中追踪'!B5:B104,"YYYY-MM")=TEXT(B11,"YYYY-MM"))*('📌 命中追踪'!L5:L104="✅ 命中")))</f>
        <v/>
      </c>
      <c r="F11" s="121">
        <f>IFERROR(E11/D11,"")</f>
        <v/>
      </c>
      <c r="G11" s="76">
        <f>IF(B11="","",LET(mon,TEXT(B11,"YYYY-MM"),names,{"数根链","配对分析","冷热库","四步向导","工作台","点数区间","条件筛选","人工判断","其他"},base,(TEXT('📌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11" s="73">
        <f>IF(OR(B11="",F11=""),"",IF(ROW()=6,"—",IF(F10="","—",IF(F11&gt;F10,"📈 上升",IF(F11&lt;F10,"📉 下降","➡ 持平")))))</f>
        <v/>
      </c>
    </row>
    <row r="12" ht="20" customHeight="1">
      <c r="A12" s="16" t="n">
        <v>7</v>
      </c>
      <c r="B12" s="69" t="n"/>
      <c r="C12" s="70">
        <f>IF(B12="","",SUMPRODUCT((TEXT('📌 命中追踪'!B5:B104,"YYYY-MM")=TEXT(B12,"YYYY-MM"))*1))</f>
        <v/>
      </c>
      <c r="D12" s="70">
        <f>IF(B12="","",SUMPRODUCT((TEXT('📌 命中追踪'!B5:B104,"YYYY-MM")=TEXT(B12,"YYYY-MM"))*('📌 命中追踪'!L5:L104&lt;&gt;"")))</f>
        <v/>
      </c>
      <c r="E12" s="71">
        <f>IF(B12="","",SUMPRODUCT((TEXT('📌 命中追踪'!B5:B104,"YYYY-MM")=TEXT(B12,"YYYY-MM"))*('📌 命中追踪'!L5:L104="✅ 命中")))</f>
        <v/>
      </c>
      <c r="F12" s="120">
        <f>IFERROR(E12/D12,"")</f>
        <v/>
      </c>
      <c r="G12" s="29">
        <f>IF(B12="","",LET(mon,TEXT(B12,"YYYY-MM"),names,{"数根链","配对分析","冷热库","四步向导","工作台","点数区间","条件筛选","人工判断","其他"},base,(TEXT('📌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12" s="70">
        <f>IF(OR(B12="",F12=""),"",IF(ROW()=6,"—",IF(F11="","—",IF(F12&gt;F11,"📈 上升",IF(F12&lt;F11,"📉 下降","➡ 持平")))))</f>
        <v/>
      </c>
    </row>
    <row r="13" ht="20" customHeight="1">
      <c r="A13" s="16" t="n">
        <v>8</v>
      </c>
      <c r="B13" s="69" t="n"/>
      <c r="C13" s="73">
        <f>IF(B13="","",SUMPRODUCT((TEXT('📌 命中追踪'!B5:B104,"YYYY-MM")=TEXT(B13,"YYYY-MM"))*1))</f>
        <v/>
      </c>
      <c r="D13" s="73">
        <f>IF(B13="","",SUMPRODUCT((TEXT('📌 命中追踪'!B5:B104,"YYYY-MM")=TEXT(B13,"YYYY-MM"))*('📌 命中追踪'!L5:L104&lt;&gt;"")))</f>
        <v/>
      </c>
      <c r="E13" s="74">
        <f>IF(B13="","",SUMPRODUCT((TEXT('📌 命中追踪'!B5:B104,"YYYY-MM")=TEXT(B13,"YYYY-MM"))*('📌 命中追踪'!L5:L104="✅ 命中")))</f>
        <v/>
      </c>
      <c r="F13" s="121">
        <f>IFERROR(E13/D13,"")</f>
        <v/>
      </c>
      <c r="G13" s="76">
        <f>IF(B13="","",LET(mon,TEXT(B13,"YYYY-MM"),names,{"数根链","配对分析","冷热库","四步向导","工作台","点数区间","条件筛选","人工判断","其他"},base,(TEXT('📌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13" s="73">
        <f>IF(OR(B13="",F13=""),"",IF(ROW()=6,"—",IF(F12="","—",IF(F13&gt;F12,"📈 上升",IF(F13&lt;F12,"📉 下降","➡ 持平")))))</f>
        <v/>
      </c>
    </row>
    <row r="14" ht="20" customHeight="1">
      <c r="A14" s="16" t="n">
        <v>9</v>
      </c>
      <c r="B14" s="69" t="n"/>
      <c r="C14" s="70">
        <f>IF(B14="","",SUMPRODUCT((TEXT('📌 命中追踪'!B5:B104,"YYYY-MM")=TEXT(B14,"YYYY-MM"))*1))</f>
        <v/>
      </c>
      <c r="D14" s="70">
        <f>IF(B14="","",SUMPRODUCT((TEXT('📌 命中追踪'!B5:B104,"YYYY-MM")=TEXT(B14,"YYYY-MM"))*('📌 命中追踪'!L5:L104&lt;&gt;"")))</f>
        <v/>
      </c>
      <c r="E14" s="71">
        <f>IF(B14="","",SUMPRODUCT((TEXT('📌 命中追踪'!B5:B104,"YYYY-MM")=TEXT(B14,"YYYY-MM"))*('📌 命中追踪'!L5:L104="✅ 命中")))</f>
        <v/>
      </c>
      <c r="F14" s="120">
        <f>IFERROR(E14/D14,"")</f>
        <v/>
      </c>
      <c r="G14" s="29">
        <f>IF(B14="","",LET(mon,TEXT(B14,"YYYY-MM"),names,{"数根链","配对分析","冷热库","四步向导","工作台","点数区间","条件筛选","人工判断","其他"},base,(TEXT('📌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14" s="70">
        <f>IF(OR(B14="",F14=""),"",IF(ROW()=6,"—",IF(F13="","—",IF(F14&gt;F13,"📈 上升",IF(F14&lt;F13,"📉 下降","➡ 持平")))))</f>
        <v/>
      </c>
    </row>
    <row r="15" ht="20" customHeight="1">
      <c r="A15" s="16" t="n">
        <v>10</v>
      </c>
      <c r="B15" s="69" t="n"/>
      <c r="C15" s="73">
        <f>IF(B15="","",SUMPRODUCT((TEXT('📌 命中追踪'!B5:B104,"YYYY-MM")=TEXT(B15,"YYYY-MM"))*1))</f>
        <v/>
      </c>
      <c r="D15" s="73">
        <f>IF(B15="","",SUMPRODUCT((TEXT('📌 命中追踪'!B5:B104,"YYYY-MM")=TEXT(B15,"YYYY-MM"))*('📌 命中追踪'!L5:L104&lt;&gt;"")))</f>
        <v/>
      </c>
      <c r="E15" s="74">
        <f>IF(B15="","",SUMPRODUCT((TEXT('📌 命中追踪'!B5:B104,"YYYY-MM")=TEXT(B15,"YYYY-MM"))*('📌 命中追踪'!L5:L104="✅ 命中")))</f>
        <v/>
      </c>
      <c r="F15" s="121">
        <f>IFERROR(E15/D15,"")</f>
        <v/>
      </c>
      <c r="G15" s="76">
        <f>IF(B15="","",LET(mon,TEXT(B15,"YYYY-MM"),names,{"数根链","配对分析","冷热库","四步向导","工作台","点数区间","条件筛选","人工判断","其他"},base,(TEXT('📌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15" s="73">
        <f>IF(OR(B15="",F15=""),"",IF(ROW()=6,"—",IF(F14="","—",IF(F15&gt;F14,"📈 上升",IF(F15&lt;F14,"📉 下降","➡ 持平")))))</f>
        <v/>
      </c>
    </row>
    <row r="16" ht="20" customHeight="1">
      <c r="A16" s="16" t="n">
        <v>11</v>
      </c>
      <c r="B16" s="69" t="n"/>
      <c r="C16" s="70">
        <f>IF(B16="","",SUMPRODUCT((TEXT('📌 命中追踪'!B5:B104,"YYYY-MM")=TEXT(B16,"YYYY-MM"))*1))</f>
        <v/>
      </c>
      <c r="D16" s="70">
        <f>IF(B16="","",SUMPRODUCT((TEXT('📌 命中追踪'!B5:B104,"YYYY-MM")=TEXT(B16,"YYYY-MM"))*('📌 命中追踪'!L5:L104&lt;&gt;"")))</f>
        <v/>
      </c>
      <c r="E16" s="71">
        <f>IF(B16="","",SUMPRODUCT((TEXT('📌 命中追踪'!B5:B104,"YYYY-MM")=TEXT(B16,"YYYY-MM"))*('📌 命中追踪'!L5:L104="✅ 命中")))</f>
        <v/>
      </c>
      <c r="F16" s="120">
        <f>IFERROR(E16/D16,"")</f>
        <v/>
      </c>
      <c r="G16" s="29">
        <f>IF(B16="","",LET(mon,TEXT(B16,"YYYY-MM"),names,{"数根链","配对分析","冷热库","四步向导","工作台","点数区间","条件筛选","人工判断","其他"},base,(TEXT('📌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16" s="70">
        <f>IF(OR(B16="",F16=""),"",IF(ROW()=6,"—",IF(F15="","—",IF(F16&gt;F15,"📈 上升",IF(F16&lt;F15,"📉 下降","➡ 持平")))))</f>
        <v/>
      </c>
    </row>
    <row r="17" ht="20" customHeight="1">
      <c r="A17" s="16" t="n">
        <v>12</v>
      </c>
      <c r="B17" s="69" t="n"/>
      <c r="C17" s="73">
        <f>IF(B17="","",SUMPRODUCT((TEXT('📌 命中追踪'!B5:B104,"YYYY-MM")=TEXT(B17,"YYYY-MM"))*1))</f>
        <v/>
      </c>
      <c r="D17" s="73">
        <f>IF(B17="","",SUMPRODUCT((TEXT('📌 命中追踪'!B5:B104,"YYYY-MM")=TEXT(B17,"YYYY-MM"))*('📌 命中追踪'!L5:L104&lt;&gt;"")))</f>
        <v/>
      </c>
      <c r="E17" s="74">
        <f>IF(B17="","",SUMPRODUCT((TEXT('📌 命中追踪'!B5:B104,"YYYY-MM")=TEXT(B17,"YYYY-MM"))*('📌 命中追踪'!L5:L104="✅ 命中")))</f>
        <v/>
      </c>
      <c r="F17" s="121">
        <f>IFERROR(E17/D17,"")</f>
        <v/>
      </c>
      <c r="G17" s="76">
        <f>IF(B17="","",LET(mon,TEXT(B17,"YYYY-MM"),names,{"数根链","配对分析","冷热库","四步向导","工作台","点数区间","条件筛选","人工判断","其他"},base,(TEXT('📌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17" s="73">
        <f>IF(OR(B17="",F17=""),"",IF(ROW()=6,"—",IF(F16="","—",IF(F17&gt;F16,"📈 上升",IF(F17&lt;F16,"📉 下降","➡ 持平")))))</f>
        <v/>
      </c>
    </row>
    <row r="18" ht="20" customHeight="1">
      <c r="A18" s="16" t="n">
        <v>13</v>
      </c>
      <c r="B18" s="69" t="n"/>
      <c r="C18" s="70">
        <f>IF(B18="","",SUMPRODUCT((TEXT('📌 命中追踪'!B5:B104,"YYYY-MM")=TEXT(B18,"YYYY-MM"))*1))</f>
        <v/>
      </c>
      <c r="D18" s="70">
        <f>IF(B18="","",SUMPRODUCT((TEXT('📌 命中追踪'!B5:B104,"YYYY-MM")=TEXT(B18,"YYYY-MM"))*('📌 命中追踪'!L5:L104&lt;&gt;"")))</f>
        <v/>
      </c>
      <c r="E18" s="71">
        <f>IF(B18="","",SUMPRODUCT((TEXT('📌 命中追踪'!B5:B104,"YYYY-MM")=TEXT(B18,"YYYY-MM"))*('📌 命中追踪'!L5:L104="✅ 命中")))</f>
        <v/>
      </c>
      <c r="F18" s="120">
        <f>IFERROR(E18/D18,"")</f>
        <v/>
      </c>
      <c r="G18" s="29">
        <f>IF(B18="","",LET(mon,TEXT(B18,"YYYY-MM"),names,{"数根链","配对分析","冷热库","四步向导","工作台","点数区间","条件筛选","人工判断","其他"},base,(TEXT('📌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18" s="70">
        <f>IF(OR(B18="",F18=""),"",IF(ROW()=6,"—",IF(F17="","—",IF(F18&gt;F17,"📈 上升",IF(F18&lt;F17,"📉 下降","➡ 持平")))))</f>
        <v/>
      </c>
    </row>
    <row r="19" ht="20" customHeight="1">
      <c r="A19" s="16" t="n">
        <v>14</v>
      </c>
      <c r="B19" s="69" t="n"/>
      <c r="C19" s="73">
        <f>IF(B19="","",SUMPRODUCT((TEXT('📌 命中追踪'!B5:B104,"YYYY-MM")=TEXT(B19,"YYYY-MM"))*1))</f>
        <v/>
      </c>
      <c r="D19" s="73">
        <f>IF(B19="","",SUMPRODUCT((TEXT('📌 命中追踪'!B5:B104,"YYYY-MM")=TEXT(B19,"YYYY-MM"))*('📌 命中追踪'!L5:L104&lt;&gt;"")))</f>
        <v/>
      </c>
      <c r="E19" s="74">
        <f>IF(B19="","",SUMPRODUCT((TEXT('📌 命中追踪'!B5:B104,"YYYY-MM")=TEXT(B19,"YYYY-MM"))*('📌 命中追踪'!L5:L104="✅ 命中")))</f>
        <v/>
      </c>
      <c r="F19" s="121">
        <f>IFERROR(E19/D19,"")</f>
        <v/>
      </c>
      <c r="G19" s="76">
        <f>IF(B19="","",LET(mon,TEXT(B19,"YYYY-MM"),names,{"数根链","配对分析","冷热库","四步向导","工作台","点数区间","条件筛选","人工判断","其他"},base,(TEXT('📌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19" s="73">
        <f>IF(OR(B19="",F19=""),"",IF(ROW()=6,"—",IF(F18="","—",IF(F19&gt;F18,"📈 上升",IF(F19&lt;F18,"📉 下降","➡ 持平")))))</f>
        <v/>
      </c>
    </row>
    <row r="20" ht="20" customHeight="1">
      <c r="A20" s="16" t="n">
        <v>15</v>
      </c>
      <c r="B20" s="69" t="n"/>
      <c r="C20" s="70">
        <f>IF(B20="","",SUMPRODUCT((TEXT('📌 命中追踪'!B5:B104,"YYYY-MM")=TEXT(B20,"YYYY-MM"))*1))</f>
        <v/>
      </c>
      <c r="D20" s="70">
        <f>IF(B20="","",SUMPRODUCT((TEXT('📌 命中追踪'!B5:B104,"YYYY-MM")=TEXT(B20,"YYYY-MM"))*('📌 命中追踪'!L5:L104&lt;&gt;"")))</f>
        <v/>
      </c>
      <c r="E20" s="71">
        <f>IF(B20="","",SUMPRODUCT((TEXT('📌 命中追踪'!B5:B104,"YYYY-MM")=TEXT(B20,"YYYY-MM"))*('📌 命中追踪'!L5:L104="✅ 命中")))</f>
        <v/>
      </c>
      <c r="F20" s="120">
        <f>IFERROR(E20/D20,"")</f>
        <v/>
      </c>
      <c r="G20" s="29">
        <f>IF(B20="","",LET(mon,TEXT(B20,"YYYY-MM"),names,{"数根链","配对分析","冷热库","四步向导","工作台","点数区间","条件筛选","人工判断","其他"},base,(TEXT('📌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20" s="70">
        <f>IF(OR(B20="",F20=""),"",IF(ROW()=6,"—",IF(F19="","—",IF(F20&gt;F19,"📈 上升",IF(F20&lt;F19,"📉 下降","➡ 持平")))))</f>
        <v/>
      </c>
    </row>
    <row r="21" ht="20" customHeight="1">
      <c r="A21" s="16" t="n">
        <v>16</v>
      </c>
      <c r="B21" s="69" t="n"/>
      <c r="C21" s="73">
        <f>IF(B21="","",SUMPRODUCT((TEXT('📌 命中追踪'!B5:B104,"YYYY-MM")=TEXT(B21,"YYYY-MM"))*1))</f>
        <v/>
      </c>
      <c r="D21" s="73">
        <f>IF(B21="","",SUMPRODUCT((TEXT('📌 命中追踪'!B5:B104,"YYYY-MM")=TEXT(B21,"YYYY-MM"))*('📌 命中追踪'!L5:L104&lt;&gt;"")))</f>
        <v/>
      </c>
      <c r="E21" s="74">
        <f>IF(B21="","",SUMPRODUCT((TEXT('📌 命中追踪'!B5:B104,"YYYY-MM")=TEXT(B21,"YYYY-MM"))*('📌 命中追踪'!L5:L104="✅ 命中")))</f>
        <v/>
      </c>
      <c r="F21" s="121">
        <f>IFERROR(E21/D21,"")</f>
        <v/>
      </c>
      <c r="G21" s="76">
        <f>IF(B21="","",LET(mon,TEXT(B21,"YYYY-MM"),names,{"数根链","配对分析","冷热库","四步向导","工作台","点数区间","条件筛选","人工判断","其他"},base,(TEXT('📌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21" s="73">
        <f>IF(OR(B21="",F21=""),"",IF(ROW()=6,"—",IF(F20="","—",IF(F21&gt;F20,"📈 上升",IF(F21&lt;F20,"📉 下降","➡ 持平")))))</f>
        <v/>
      </c>
    </row>
    <row r="22" ht="20" customHeight="1">
      <c r="A22" s="16" t="n">
        <v>17</v>
      </c>
      <c r="B22" s="69" t="n"/>
      <c r="C22" s="70">
        <f>IF(B22="","",SUMPRODUCT((TEXT('📌 命中追踪'!B5:B104,"YYYY-MM")=TEXT(B22,"YYYY-MM"))*1))</f>
        <v/>
      </c>
      <c r="D22" s="70">
        <f>IF(B22="","",SUMPRODUCT((TEXT('📌 命中追踪'!B5:B104,"YYYY-MM")=TEXT(B22,"YYYY-MM"))*('📌 命中追踪'!L5:L104&lt;&gt;"")))</f>
        <v/>
      </c>
      <c r="E22" s="71">
        <f>IF(B22="","",SUMPRODUCT((TEXT('📌 命中追踪'!B5:B104,"YYYY-MM")=TEXT(B22,"YYYY-MM"))*('📌 命中追踪'!L5:L104="✅ 命中")))</f>
        <v/>
      </c>
      <c r="F22" s="120">
        <f>IFERROR(E22/D22,"")</f>
        <v/>
      </c>
      <c r="G22" s="29">
        <f>IF(B22="","",LET(mon,TEXT(B22,"YYYY-MM"),names,{"数根链","配对分析","冷热库","四步向导","工作台","点数区间","条件筛选","人工判断","其他"},base,(TEXT('📌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22" s="70">
        <f>IF(OR(B22="",F22=""),"",IF(ROW()=6,"—",IF(F21="","—",IF(F22&gt;F21,"📈 上升",IF(F22&lt;F21,"📉 下降","➡ 持平")))))</f>
        <v/>
      </c>
    </row>
    <row r="23" ht="20" customHeight="1">
      <c r="A23" s="16" t="n">
        <v>18</v>
      </c>
      <c r="B23" s="69" t="n"/>
      <c r="C23" s="73">
        <f>IF(B23="","",SUMPRODUCT((TEXT('📌 命中追踪'!B5:B104,"YYYY-MM")=TEXT(B23,"YYYY-MM"))*1))</f>
        <v/>
      </c>
      <c r="D23" s="73">
        <f>IF(B23="","",SUMPRODUCT((TEXT('📌 命中追踪'!B5:B104,"YYYY-MM")=TEXT(B23,"YYYY-MM"))*('📌 命中追踪'!L5:L104&lt;&gt;"")))</f>
        <v/>
      </c>
      <c r="E23" s="74">
        <f>IF(B23="","",SUMPRODUCT((TEXT('📌 命中追踪'!B5:B104,"YYYY-MM")=TEXT(B23,"YYYY-MM"))*('📌 命中追踪'!L5:L104="✅ 命中")))</f>
        <v/>
      </c>
      <c r="F23" s="121">
        <f>IFERROR(E23/D23,"")</f>
        <v/>
      </c>
      <c r="G23" s="76">
        <f>IF(B23="","",LET(mon,TEXT(B23,"YYYY-MM"),names,{"数根链","配对分析","冷热库","四步向导","工作台","点数区间","条件筛选","人工判断","其他"},base,(TEXT('📌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23" s="73">
        <f>IF(OR(B23="",F23=""),"",IF(ROW()=6,"—",IF(F22="","—",IF(F23&gt;F22,"📈 上升",IF(F23&lt;F22,"📉 下降","➡ 持平")))))</f>
        <v/>
      </c>
    </row>
    <row r="24" ht="20" customHeight="1">
      <c r="A24" s="16" t="n">
        <v>19</v>
      </c>
      <c r="B24" s="69" t="n"/>
      <c r="C24" s="70">
        <f>IF(B24="","",SUMPRODUCT((TEXT('📌 命中追踪'!B5:B104,"YYYY-MM")=TEXT(B24,"YYYY-MM"))*1))</f>
        <v/>
      </c>
      <c r="D24" s="70">
        <f>IF(B24="","",SUMPRODUCT((TEXT('📌 命中追踪'!B5:B104,"YYYY-MM")=TEXT(B24,"YYYY-MM"))*('📌 命中追踪'!L5:L104&lt;&gt;"")))</f>
        <v/>
      </c>
      <c r="E24" s="71">
        <f>IF(B24="","",SUMPRODUCT((TEXT('📌 命中追踪'!B5:B104,"YYYY-MM")=TEXT(B24,"YYYY-MM"))*('📌 命中追踪'!L5:L104="✅ 命中")))</f>
        <v/>
      </c>
      <c r="F24" s="120">
        <f>IFERROR(E24/D24,"")</f>
        <v/>
      </c>
      <c r="G24" s="29">
        <f>IF(B24="","",LET(mon,TEXT(B24,"YYYY-MM"),names,{"数根链","配对分析","冷热库","四步向导","工作台","点数区间","条件筛选","人工判断","其他"},base,(TEXT('📌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24" s="70">
        <f>IF(OR(B24="",F24=""),"",IF(ROW()=6,"—",IF(F23="","—",IF(F24&gt;F23,"📈 上升",IF(F24&lt;F23,"📉 下降","➡ 持平")))))</f>
        <v/>
      </c>
    </row>
    <row r="25" ht="20" customHeight="1">
      <c r="A25" s="16" t="n">
        <v>20</v>
      </c>
      <c r="B25" s="69" t="n"/>
      <c r="C25" s="73">
        <f>IF(B25="","",SUMPRODUCT((TEXT('📌 命中追踪'!B5:B104,"YYYY-MM")=TEXT(B25,"YYYY-MM"))*1))</f>
        <v/>
      </c>
      <c r="D25" s="73">
        <f>IF(B25="","",SUMPRODUCT((TEXT('📌 命中追踪'!B5:B104,"YYYY-MM")=TEXT(B25,"YYYY-MM"))*('📌 命中追踪'!L5:L104&lt;&gt;"")))</f>
        <v/>
      </c>
      <c r="E25" s="74">
        <f>IF(B25="","",SUMPRODUCT((TEXT('📌 命中追踪'!B5:B104,"YYYY-MM")=TEXT(B25,"YYYY-MM"))*('📌 命中追踪'!L5:L104="✅ 命中")))</f>
        <v/>
      </c>
      <c r="F25" s="121">
        <f>IFERROR(E25/D25,"")</f>
        <v/>
      </c>
      <c r="G25" s="76">
        <f>IF(B25="","",LET(mon,TEXT(B25,"YYYY-MM"),names,{"数根链","配对分析","冷热库","四步向导","工作台","点数区间","条件筛选","人工判断","其他"},base,(TEXT('📌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25" s="73">
        <f>IF(OR(B25="",F25=""),"",IF(ROW()=6,"—",IF(F24="","—",IF(F25&gt;F24,"📈 上升",IF(F25&lt;F24,"📉 下降","➡ 持平")))))</f>
        <v/>
      </c>
    </row>
    <row r="26" ht="20" customHeight="1">
      <c r="A26" s="16" t="n">
        <v>21</v>
      </c>
      <c r="B26" s="69" t="n"/>
      <c r="C26" s="70">
        <f>IF(B26="","",SUMPRODUCT((TEXT('📌 命中追踪'!B5:B104,"YYYY-MM")=TEXT(B26,"YYYY-MM"))*1))</f>
        <v/>
      </c>
      <c r="D26" s="70">
        <f>IF(B26="","",SUMPRODUCT((TEXT('📌 命中追踪'!B5:B104,"YYYY-MM")=TEXT(B26,"YYYY-MM"))*('📌 命中追踪'!L5:L104&lt;&gt;"")))</f>
        <v/>
      </c>
      <c r="E26" s="71">
        <f>IF(B26="","",SUMPRODUCT((TEXT('📌 命中追踪'!B5:B104,"YYYY-MM")=TEXT(B26,"YYYY-MM"))*('📌 命中追踪'!L5:L104="✅ 命中")))</f>
        <v/>
      </c>
      <c r="F26" s="120">
        <f>IFERROR(E26/D26,"")</f>
        <v/>
      </c>
      <c r="G26" s="29">
        <f>IF(B26="","",LET(mon,TEXT(B26,"YYYY-MM"),names,{"数根链","配对分析","冷热库","四步向导","工作台","点数区间","条件筛选","人工判断","其他"},base,(TEXT('📌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26" s="70">
        <f>IF(OR(B26="",F26=""),"",IF(ROW()=6,"—",IF(F25="","—",IF(F26&gt;F25,"📈 上升",IF(F26&lt;F25,"📉 下降","➡ 持平")))))</f>
        <v/>
      </c>
    </row>
    <row r="27" ht="20" customHeight="1">
      <c r="A27" s="16" t="n">
        <v>22</v>
      </c>
      <c r="B27" s="69" t="n"/>
      <c r="C27" s="73">
        <f>IF(B27="","",SUMPRODUCT((TEXT('📌 命中追踪'!B5:B104,"YYYY-MM")=TEXT(B27,"YYYY-MM"))*1))</f>
        <v/>
      </c>
      <c r="D27" s="73">
        <f>IF(B27="","",SUMPRODUCT((TEXT('📌 命中追踪'!B5:B104,"YYYY-MM")=TEXT(B27,"YYYY-MM"))*('📌 命中追踪'!L5:L104&lt;&gt;"")))</f>
        <v/>
      </c>
      <c r="E27" s="74">
        <f>IF(B27="","",SUMPRODUCT((TEXT('📌 命中追踪'!B5:B104,"YYYY-MM")=TEXT(B27,"YYYY-MM"))*('📌 命中追踪'!L5:L104="✅ 命中")))</f>
        <v/>
      </c>
      <c r="F27" s="121">
        <f>IFERROR(E27/D27,"")</f>
        <v/>
      </c>
      <c r="G27" s="76">
        <f>IF(B27="","",LET(mon,TEXT(B27,"YYYY-MM"),names,{"数根链","配对分析","冷热库","四步向导","工作台","点数区间","条件筛选","人工判断","其他"},base,(TEXT('📌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27" s="73">
        <f>IF(OR(B27="",F27=""),"",IF(ROW()=6,"—",IF(F26="","—",IF(F27&gt;F26,"📈 上升",IF(F27&lt;F26,"📉 下降","➡ 持平")))))</f>
        <v/>
      </c>
    </row>
    <row r="28" ht="20" customHeight="1">
      <c r="A28" s="16" t="n">
        <v>23</v>
      </c>
      <c r="B28" s="69" t="n"/>
      <c r="C28" s="70">
        <f>IF(B28="","",SUMPRODUCT((TEXT('📌 命中追踪'!B5:B104,"YYYY-MM")=TEXT(B28,"YYYY-MM"))*1))</f>
        <v/>
      </c>
      <c r="D28" s="70">
        <f>IF(B28="","",SUMPRODUCT((TEXT('📌 命中追踪'!B5:B104,"YYYY-MM")=TEXT(B28,"YYYY-MM"))*('📌 命中追踪'!L5:L104&lt;&gt;"")))</f>
        <v/>
      </c>
      <c r="E28" s="71">
        <f>IF(B28="","",SUMPRODUCT((TEXT('📌 命中追踪'!B5:B104,"YYYY-MM")=TEXT(B28,"YYYY-MM"))*('📌 命中追踪'!L5:L104="✅ 命中")))</f>
        <v/>
      </c>
      <c r="F28" s="120">
        <f>IFERROR(E28/D28,"")</f>
        <v/>
      </c>
      <c r="G28" s="29">
        <f>IF(B28="","",LET(mon,TEXT(B28,"YYYY-MM"),names,{"数根链","配对分析","冷热库","四步向导","工作台","点数区间","条件筛选","人工判断","其他"},base,(TEXT('📌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28" s="70">
        <f>IF(OR(B28="",F28=""),"",IF(ROW()=6,"—",IF(F27="","—",IF(F28&gt;F27,"📈 上升",IF(F28&lt;F27,"📉 下降","➡ 持平")))))</f>
        <v/>
      </c>
    </row>
    <row r="29" ht="20" customHeight="1">
      <c r="A29" s="16" t="n">
        <v>24</v>
      </c>
      <c r="B29" s="69" t="n"/>
      <c r="C29" s="73">
        <f>IF(B29="","",SUMPRODUCT((TEXT('📌 命中追踪'!B5:B104,"YYYY-MM")=TEXT(B29,"YYYY-MM"))*1))</f>
        <v/>
      </c>
      <c r="D29" s="73">
        <f>IF(B29="","",SUMPRODUCT((TEXT('📌 命中追踪'!B5:B104,"YYYY-MM")=TEXT(B29,"YYYY-MM"))*('📌 命中追踪'!L5:L104&lt;&gt;"")))</f>
        <v/>
      </c>
      <c r="E29" s="74">
        <f>IF(B29="","",SUMPRODUCT((TEXT('📌 命中追踪'!B5:B104,"YYYY-MM")=TEXT(B29,"YYYY-MM"))*('📌 命中追踪'!L5:L104="✅ 命中")))</f>
        <v/>
      </c>
      <c r="F29" s="121">
        <f>IFERROR(E29/D29,"")</f>
        <v/>
      </c>
      <c r="G29" s="76">
        <f>IF(B29="","",LET(mon,TEXT(B29,"YYYY-MM"),names,{"数根链","配对分析","冷热库","四步向导","工作台","点数区间","条件筛选","人工判断","其他"},base,(TEXT('📌 命中追踪'!B:B04,"YYYY-MM")=mon)*('📌 命中追踪'!L:L04="✅ 命中"),mtx,--( '📌 命中追踪'!N:N04=names),counts,MMULT(TRANSPOSE(base*1),mtx),IF(MAX(counts)=0,"—",INDEX(names,MATCH(MAX(counts),counts,0)))))</f>
        <v/>
      </c>
      <c r="H29" s="73">
        <f>IF(OR(B29="",F29=""),"",IF(ROW()=6,"—",IF(F28="","—",IF(F29&gt;F28,"📈 上升",IF(F29&lt;F28,"📉 下降","➡ 持平")))))</f>
        <v/>
      </c>
    </row>
    <row r="32" ht="8" customHeight="1"/>
    <row r="33" ht="28" customHeight="1">
      <c r="A33" s="77" t="inlineStr">
        <is>
          <t>📈 累计汇总</t>
        </is>
      </c>
    </row>
    <row r="34" ht="22" customHeight="1">
      <c r="A34" s="55" t="inlineStr">
        <is>
          <t>总记录期数</t>
        </is>
      </c>
      <c r="B34" s="45" t="n"/>
      <c r="C34" s="78">
        <f>COUNTA('📌 命中追踪'!B5:B104)</f>
        <v/>
      </c>
    </row>
    <row r="35" ht="22" customHeight="1">
      <c r="A35" s="55" t="inlineStr">
        <is>
          <t>总命中次数</t>
        </is>
      </c>
      <c r="B35" s="45" t="n"/>
      <c r="C35" s="78">
        <f>COUNTIF('📌 命中追踪'!L5:L104,"✅ 命中")</f>
        <v/>
      </c>
    </row>
    <row r="36" ht="22" customHeight="1">
      <c r="A36" s="55" t="inlineStr">
        <is>
          <t>总体命中率</t>
        </is>
      </c>
      <c r="B36" s="45" t="n"/>
      <c r="C36" s="125">
        <f>IFERROR(COUNTIF('📌 命中追踪'!L5:L104,"✅ 命中")/COUNTIF('📌 命中追踪'!L5:L104,"&lt;&gt;"),0)</f>
        <v/>
      </c>
    </row>
    <row r="37" ht="22" customHeight="1">
      <c r="A37" s="55" t="inlineStr">
        <is>
          <t>最高月命中率</t>
        </is>
      </c>
      <c r="B37" s="45" t="n"/>
      <c r="C37" s="125">
        <f>IFERROR(MAX(F6:F29),0)</f>
        <v/>
      </c>
    </row>
  </sheetData>
  <mergeCells count="7">
    <mergeCell ref="A3:H3"/>
    <mergeCell ref="A2:H2"/>
    <mergeCell ref="A37:B37"/>
    <mergeCell ref="A36:B36"/>
    <mergeCell ref="A33:H33"/>
    <mergeCell ref="A34:B34"/>
    <mergeCell ref="A35:B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4A960"/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ColWidth="9" defaultRowHeight="15.75"/>
  <cols>
    <col width="3" customWidth="1" min="1" max="1"/>
    <col width="32" customWidth="1" min="2" max="2"/>
    <col width="55" customWidth="1" min="3" max="3"/>
    <col width="3" customWidth="1" min="4" max="4"/>
  </cols>
  <sheetData>
    <row r="1" ht="8" customHeight="1"/>
    <row r="2" ht="34" customHeight="1">
      <c r="B2" s="53" t="inlineStr">
        <is>
          <t>💡 透视表指引 — 用导出数据做更深分析</t>
        </is>
      </c>
    </row>
    <row r="4" ht="26" customHeight="1">
      <c r="B4" s="54" t="inlineStr">
        <is>
          <t xml:space="preserve">  分析1：数根季节性（最实用）</t>
        </is>
      </c>
    </row>
    <row r="5" ht="22" customHeight="1">
      <c r="B5" s="55" t="inlineStr">
        <is>
          <t>目的</t>
        </is>
      </c>
      <c r="C5" s="56" t="inlineStr">
        <is>
          <t>找出哪个数根在哪几个月特别活跃</t>
        </is>
      </c>
    </row>
    <row r="6" ht="22" customHeight="1">
      <c r="B6" s="55" t="inlineStr">
        <is>
          <t>操作步骤</t>
        </is>
      </c>
      <c r="C6" s="56" t="inlineStr">
        <is>
          <t>① 打开导出的 Excel → 选择任一市场 Sheet</t>
        </is>
      </c>
    </row>
    <row r="7" ht="22" customHeight="1">
      <c r="B7" s="57" t="inlineStr"/>
      <c r="C7" s="58" t="inlineStr">
        <is>
          <t>② 点击「插入」→「数据透视表」</t>
        </is>
      </c>
    </row>
    <row r="8" ht="22" customHeight="1">
      <c r="B8" s="57" t="inlineStr"/>
      <c r="C8" s="58" t="inlineStr">
        <is>
          <t>③ 行：拖入日期列（按月分组）</t>
        </is>
      </c>
    </row>
    <row r="9" ht="22" customHeight="1">
      <c r="B9" s="57" t="inlineStr"/>
      <c r="C9" s="58" t="inlineStr">
        <is>
          <t>④ 列：拖入后3D数根（B3 root）</t>
        </is>
      </c>
    </row>
    <row r="10" ht="22" customHeight="1">
      <c r="B10" s="57" t="inlineStr"/>
      <c r="C10" s="58" t="inlineStr">
        <is>
          <t>⑤ 值：计数</t>
        </is>
      </c>
    </row>
    <row r="11" ht="22" customHeight="1">
      <c r="B11" s="55" t="inlineStr">
        <is>
          <t>解读方法</t>
        </is>
      </c>
      <c r="C11" s="56" t="inlineStr">
        <is>
          <t>某个数根在某月特别高 → 下次该月重点关注该数根</t>
        </is>
      </c>
    </row>
    <row r="12" ht="8" customHeight="1"/>
    <row r="13" ht="26" customHeight="1">
      <c r="B13" s="59" t="inlineStr">
        <is>
          <t xml:space="preserve">  分析2：冷热周期分析</t>
        </is>
      </c>
    </row>
    <row r="14" ht="22" customHeight="1">
      <c r="B14" s="55" t="inlineStr">
        <is>
          <t>目的</t>
        </is>
      </c>
      <c r="C14" s="56" t="inlineStr">
        <is>
          <t>找出某个后3D数根平均多少期出现一次</t>
        </is>
      </c>
    </row>
    <row r="15" ht="22" customHeight="1">
      <c r="B15" s="55" t="inlineStr">
        <is>
          <t>操作步骤</t>
        </is>
      </c>
      <c r="C15" s="56" t="inlineStr">
        <is>
          <t>① 筛选 B3 root 某个值（如：3）</t>
        </is>
      </c>
    </row>
    <row r="16" ht="22" customHeight="1">
      <c r="B16" s="57" t="inlineStr"/>
      <c r="C16" s="58" t="inlineStr">
        <is>
          <t>② 看日期列，计算相邻出现的期数差</t>
        </is>
      </c>
    </row>
    <row r="17" ht="22" customHeight="1">
      <c r="B17" s="57" t="inlineStr"/>
      <c r="C17" s="58" t="inlineStr">
        <is>
          <t>③ 用 AVERAGE 算平均间隔</t>
        </is>
      </c>
    </row>
    <row r="18" ht="22" customHeight="1">
      <c r="B18" s="55" t="inlineStr">
        <is>
          <t>实际意义</t>
        </is>
      </c>
      <c r="C18" s="56" t="inlineStr">
        <is>
          <t>平均间隔是你判断「冷号应该出了」的依据</t>
        </is>
      </c>
    </row>
    <row r="19" ht="8" customHeight="1"/>
    <row r="20" ht="26" customHeight="1">
      <c r="B20" s="60" t="inlineStr">
        <is>
          <t xml:space="preserve">  分析3：首位 + 后3D 联合频率</t>
        </is>
      </c>
    </row>
    <row r="21" ht="22" customHeight="1">
      <c r="B21" s="55" t="inlineStr">
        <is>
          <t>目的</t>
        </is>
      </c>
      <c r="C21" s="56" t="inlineStr">
        <is>
          <t>验证系统「配对分析」功能的历史数据</t>
        </is>
      </c>
    </row>
    <row r="22" ht="22" customHeight="1">
      <c r="B22" s="55" t="inlineStr">
        <is>
          <t>操作步骤</t>
        </is>
      </c>
      <c r="C22" s="56" t="inlineStr">
        <is>
          <t>① 行：后3D 数根</t>
        </is>
      </c>
    </row>
    <row r="23" ht="22" customHeight="1">
      <c r="B23" s="57" t="inlineStr"/>
      <c r="C23" s="58" t="inlineStr">
        <is>
          <t>② 列：首位数字（号码的第1位）</t>
        </is>
      </c>
    </row>
    <row r="24" ht="22" customHeight="1">
      <c r="B24" s="57" t="inlineStr"/>
      <c r="C24" s="58" t="inlineStr">
        <is>
          <t>③ 值：计数</t>
        </is>
      </c>
    </row>
    <row r="25" ht="22" customHeight="1">
      <c r="B25" s="55" t="inlineStr">
        <is>
          <t>解读方法</t>
        </is>
      </c>
      <c r="C25" s="56" t="inlineStr">
        <is>
          <t>某格子数字特别大 → 那个组合历史上频繁出现</t>
        </is>
      </c>
    </row>
    <row r="26" ht="8" customHeight="1"/>
    <row r="27" ht="26" customHeight="1">
      <c r="B27" s="61" t="inlineStr">
        <is>
          <t xml:space="preserve">  分析4：点数区间走势</t>
        </is>
      </c>
    </row>
    <row r="28" ht="22" customHeight="1">
      <c r="B28" s="55" t="inlineStr">
        <is>
          <t>目的</t>
        </is>
      </c>
      <c r="C28" s="56" t="inlineStr">
        <is>
          <t>看近6个月4D点数是否有漂移趋势</t>
        </is>
      </c>
    </row>
    <row r="29" ht="22" customHeight="1">
      <c r="B29" s="55" t="inlineStr">
        <is>
          <t>操作步骤</t>
        </is>
      </c>
      <c r="C29" s="56" t="inlineStr">
        <is>
          <t>① 选日期列 + 4D点数列</t>
        </is>
      </c>
    </row>
    <row r="30" ht="22" customHeight="1">
      <c r="B30" s="57" t="inlineStr"/>
      <c r="C30" s="58" t="inlineStr">
        <is>
          <t>② 插入折线图</t>
        </is>
      </c>
    </row>
    <row r="31" ht="22" customHeight="1">
      <c r="B31" s="57" t="inlineStr"/>
      <c r="C31" s="58" t="inlineStr">
        <is>
          <t>③ 加移动平均线（右键数据系列 → 趋势线）</t>
        </is>
      </c>
    </row>
    <row r="32" ht="8" customHeight="1"/>
    <row r="33" ht="26" customHeight="1">
      <c r="B33" s="62" t="inlineStr">
        <is>
          <t xml:space="preserve">  重要提示</t>
        </is>
      </c>
    </row>
    <row r="34" ht="22" customHeight="1">
      <c r="B34" s="55" t="inlineStr">
        <is>
          <t>导出文件列名说明</t>
        </is>
      </c>
      <c r="C34" s="56" t="inlineStr">
        <is>
          <t>F=前2D, M=中2D, B=后2D；数字后缀1/2/3=头/二/三奖；root=数根；parity=奇偶</t>
        </is>
      </c>
    </row>
    <row r="35" ht="22" customHeight="1">
      <c r="B35" s="55" t="inlineStr">
        <is>
          <t>建议分析期数</t>
        </is>
      </c>
      <c r="C35" s="56" t="inlineStr">
        <is>
          <t>至少100期以上，数根分析建议200期+</t>
        </is>
      </c>
    </row>
    <row r="36" ht="22" customHeight="1">
      <c r="B36" s="55" t="inlineStr">
        <is>
          <t>颜色含义</t>
        </is>
      </c>
      <c r="C36" s="56" t="inlineStr">
        <is>
          <t>单元格颜色与系统页面一致：蓝=G1数根(1,4,7), 黄=G2(2,5,8), 粉=G3(3,6,9)</t>
        </is>
      </c>
    </row>
  </sheetData>
  <mergeCells count="6">
    <mergeCell ref="B13:C13"/>
    <mergeCell ref="B2:C2"/>
    <mergeCell ref="B33:C33"/>
    <mergeCell ref="B20:C20"/>
    <mergeCell ref="B27:C27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DC2626"/>
    <outlinePr summaryBelow="1" summaryRight="1"/>
    <pageSetUpPr/>
  </sheetPr>
  <dimension ref="A2:AW75"/>
  <sheetViews>
    <sheetView showGridLines="0" tabSelected="1" workbookViewId="0">
      <pane xSplit="7" ySplit="4" topLeftCell="H5" activePane="bottomRight" state="frozen"/>
      <selection activeCell="A1" sqref="A1"/>
      <selection pane="topRight" activeCell="A1" sqref="A1"/>
      <selection pane="bottomLeft" activeCell="A1" sqref="A1"/>
      <selection pane="bottomRight" activeCell="C5" sqref="C5:C18"/>
    </sheetView>
  </sheetViews>
  <sheetFormatPr baseColWidth="8" defaultColWidth="9" defaultRowHeight="15.75"/>
  <cols>
    <col width="4" customWidth="1" min="1" max="1"/>
    <col width="12" customWidth="1" min="2" max="2"/>
    <col width="9" customWidth="1" min="3" max="6"/>
    <col width="1.5047619047619" customWidth="1" min="7" max="7"/>
    <col width="5" customWidth="1" min="8" max="10"/>
    <col width="12" customWidth="1" min="11" max="11"/>
    <col width="10" customWidth="1" min="12" max="12"/>
    <col width="7" customWidth="1" min="13" max="13"/>
    <col width="14" customWidth="1" min="14" max="14"/>
    <col width="16" customWidth="1" min="15" max="15"/>
    <col width="1.5047619047619" customWidth="1" min="16" max="16"/>
    <col width="5" customWidth="1" min="17" max="19"/>
    <col width="12" customWidth="1" min="20" max="20"/>
    <col width="10" customWidth="1" min="21" max="21"/>
    <col width="7" customWidth="1" min="22" max="22"/>
    <col width="14" customWidth="1" min="23" max="23"/>
    <col width="16" customWidth="1" min="24" max="24"/>
    <col width="1.5047619047619" customWidth="1" min="25" max="25"/>
    <col width="5" customWidth="1" min="26" max="28"/>
    <col width="12" customWidth="1" min="29" max="29"/>
    <col width="10" customWidth="1" min="30" max="30"/>
    <col width="7" customWidth="1" min="31" max="31"/>
    <col width="14" customWidth="1" min="32" max="32"/>
    <col width="16" customWidth="1" min="33" max="33"/>
    <col width="1.5047619047619" customWidth="1" min="34" max="34"/>
    <col width="5" customWidth="1" min="35" max="37"/>
    <col width="12" customWidth="1" min="38" max="38"/>
    <col width="10" customWidth="1" min="39" max="39"/>
    <col width="7" customWidth="1" min="40" max="40"/>
    <col width="14" customWidth="1" min="41" max="41"/>
    <col width="16" customWidth="1" min="42" max="42"/>
    <col width="1.5047619047619" customWidth="1" min="43" max="43"/>
    <col width="12" customWidth="1" min="44" max="47"/>
    <col width="1.5047619047619" customWidth="1" min="48" max="48"/>
    <col width="22" customWidth="1" min="49" max="49"/>
  </cols>
  <sheetData>
    <row r="1" ht="6" customHeight="1"/>
    <row r="2" ht="32" customHeight="1">
      <c r="A2" s="1" t="inlineStr">
        <is>
          <t>🔢 四位追踪表 — 千位·百位·十位·个位 各自的大小·单双·连续走势 → 自动输出下期筛选条件</t>
        </is>
      </c>
    </row>
    <row r="3" ht="20" customHeight="1">
      <c r="A3" s="2" t="inlineStr">
        <is>
          <t>📥 输入</t>
        </is>
      </c>
      <c r="B3" s="44" t="n"/>
      <c r="C3" s="44" t="n"/>
      <c r="D3" s="44" t="n"/>
      <c r="E3" s="44" t="n"/>
      <c r="F3" s="45" t="n"/>
      <c r="G3" s="3" t="n"/>
      <c r="H3" s="4" t="inlineStr">
        <is>
          <t>🔷 千位 (第1位)</t>
        </is>
      </c>
      <c r="I3" s="44" t="n"/>
      <c r="J3" s="44" t="n"/>
      <c r="K3" s="44" t="n"/>
      <c r="L3" s="44" t="n"/>
      <c r="M3" s="44" t="n"/>
      <c r="N3" s="44" t="n"/>
      <c r="O3" s="45" t="n"/>
      <c r="P3" s="3" t="n"/>
      <c r="Q3" s="5" t="inlineStr">
        <is>
          <t>🟣 百位 (第2位)</t>
        </is>
      </c>
      <c r="R3" s="44" t="n"/>
      <c r="S3" s="44" t="n"/>
      <c r="T3" s="44" t="n"/>
      <c r="U3" s="44" t="n"/>
      <c r="V3" s="44" t="n"/>
      <c r="W3" s="44" t="n"/>
      <c r="X3" s="45" t="n"/>
      <c r="Y3" s="3" t="n"/>
      <c r="Z3" s="6" t="inlineStr">
        <is>
          <t>🟢 十位 (第3位)</t>
        </is>
      </c>
      <c r="AA3" s="44" t="n"/>
      <c r="AB3" s="44" t="n"/>
      <c r="AC3" s="44" t="n"/>
      <c r="AD3" s="44" t="n"/>
      <c r="AE3" s="44" t="n"/>
      <c r="AF3" s="44" t="n"/>
      <c r="AG3" s="45" t="n"/>
      <c r="AH3" s="3" t="n"/>
      <c r="AI3" s="7" t="inlineStr">
        <is>
          <t>🟠 个位 (第4位)</t>
        </is>
      </c>
      <c r="AJ3" s="44" t="n"/>
      <c r="AK3" s="44" t="n"/>
      <c r="AL3" s="44" t="n"/>
      <c r="AM3" s="44" t="n"/>
      <c r="AN3" s="44" t="n"/>
      <c r="AO3" s="44" t="n"/>
      <c r="AP3" s="45" t="n"/>
      <c r="AQ3" s="3" t="n"/>
      <c r="AR3" s="8" t="inlineStr">
        <is>
          <t>✅ 命中验证</t>
        </is>
      </c>
      <c r="AS3" s="44" t="n"/>
      <c r="AT3" s="44" t="n"/>
      <c r="AU3" s="45" t="n"/>
      <c r="AW3" s="2" t="inlineStr">
        <is>
          <t>备注</t>
        </is>
      </c>
    </row>
    <row r="4" ht="22" customHeight="1">
      <c r="A4" s="9" t="inlineStr">
        <is>
          <t>#</t>
        </is>
      </c>
      <c r="B4" s="10" t="inlineStr">
        <is>
          <t>日期</t>
        </is>
      </c>
      <c r="C4" s="10" t="inlineStr">
        <is>
          <t>市场</t>
        </is>
      </c>
      <c r="D4" s="10" t="inlineStr">
        <is>
          <t>头奖</t>
        </is>
      </c>
      <c r="E4" s="10" t="inlineStr">
        <is>
          <t>二奖</t>
        </is>
      </c>
      <c r="F4" s="10" t="inlineStr">
        <is>
          <t>三奖</t>
        </is>
      </c>
      <c r="G4" s="3" t="n"/>
      <c r="H4" s="11" t="inlineStr">
        <is>
          <t>头千</t>
        </is>
      </c>
      <c r="I4" s="11" t="inlineStr">
        <is>
          <t>二千</t>
        </is>
      </c>
      <c r="J4" s="11" t="inlineStr">
        <is>
          <t>三千</t>
        </is>
      </c>
      <c r="K4" s="11" t="inlineStr">
        <is>
          <t>大小信号</t>
        </is>
      </c>
      <c r="L4" s="11" t="inlineStr">
        <is>
          <t>单双信号</t>
        </is>
      </c>
      <c r="M4" s="11" t="inlineStr">
        <is>
          <t>连续</t>
        </is>
      </c>
      <c r="N4" s="11" t="inlineStr">
        <is>
          <t>⚠️预警</t>
        </is>
      </c>
      <c r="O4" s="11" t="inlineStr">
        <is>
          <t>下期建议</t>
        </is>
      </c>
      <c r="P4" s="3" t="n"/>
      <c r="Q4" s="12" t="inlineStr">
        <is>
          <t>头百</t>
        </is>
      </c>
      <c r="R4" s="12" t="inlineStr">
        <is>
          <t>二百</t>
        </is>
      </c>
      <c r="S4" s="12" t="inlineStr">
        <is>
          <t>三百</t>
        </is>
      </c>
      <c r="T4" s="12" t="inlineStr">
        <is>
          <t>大小信号</t>
        </is>
      </c>
      <c r="U4" s="12" t="inlineStr">
        <is>
          <t>单双信号</t>
        </is>
      </c>
      <c r="V4" s="12" t="inlineStr">
        <is>
          <t>连续</t>
        </is>
      </c>
      <c r="W4" s="12" t="inlineStr">
        <is>
          <t>⚠️预警</t>
        </is>
      </c>
      <c r="X4" s="12" t="inlineStr">
        <is>
          <t>下期建议</t>
        </is>
      </c>
      <c r="Y4" s="3" t="n"/>
      <c r="Z4" s="13" t="inlineStr">
        <is>
          <t>头十</t>
        </is>
      </c>
      <c r="AA4" s="13" t="inlineStr">
        <is>
          <t>二十</t>
        </is>
      </c>
      <c r="AB4" s="13" t="inlineStr">
        <is>
          <t>三十</t>
        </is>
      </c>
      <c r="AC4" s="13" t="inlineStr">
        <is>
          <t>大小信号</t>
        </is>
      </c>
      <c r="AD4" s="13" t="inlineStr">
        <is>
          <t>单双信号</t>
        </is>
      </c>
      <c r="AE4" s="13" t="inlineStr">
        <is>
          <t>连续</t>
        </is>
      </c>
      <c r="AF4" s="13" t="inlineStr">
        <is>
          <t>⚠️预警</t>
        </is>
      </c>
      <c r="AG4" s="13" t="inlineStr">
        <is>
          <t>下期建议</t>
        </is>
      </c>
      <c r="AH4" s="3" t="n"/>
      <c r="AI4" s="14" t="inlineStr">
        <is>
          <t>头个</t>
        </is>
      </c>
      <c r="AJ4" s="14" t="inlineStr">
        <is>
          <t>二个</t>
        </is>
      </c>
      <c r="AK4" s="14" t="inlineStr">
        <is>
          <t>三个</t>
        </is>
      </c>
      <c r="AL4" s="14" t="inlineStr">
        <is>
          <t>大小信号</t>
        </is>
      </c>
      <c r="AM4" s="14" t="inlineStr">
        <is>
          <t>单双信号</t>
        </is>
      </c>
      <c r="AN4" s="14" t="inlineStr">
        <is>
          <t>连续</t>
        </is>
      </c>
      <c r="AO4" s="14" t="inlineStr">
        <is>
          <t>⚠️预警</t>
        </is>
      </c>
      <c r="AP4" s="14" t="inlineStr">
        <is>
          <t>下期建议</t>
        </is>
      </c>
      <c r="AQ4" s="3" t="n"/>
      <c r="AR4" s="15" t="inlineStr">
        <is>
          <t>命中千位</t>
        </is>
      </c>
      <c r="AS4" s="15" t="inlineStr">
        <is>
          <t>命中百位</t>
        </is>
      </c>
      <c r="AT4" s="15" t="inlineStr">
        <is>
          <t>命中十位</t>
        </is>
      </c>
      <c r="AU4" s="15" t="inlineStr">
        <is>
          <t>命中个位</t>
        </is>
      </c>
      <c r="AW4" s="9" t="inlineStr">
        <is>
          <t>备注</t>
        </is>
      </c>
    </row>
    <row r="5" ht="18" customHeight="1">
      <c r="A5" s="16" t="n">
        <v>1</v>
      </c>
      <c r="B5" s="17" t="inlineStr">
        <is>
          <t>2026-05-02</t>
        </is>
      </c>
      <c r="C5" s="18" t="inlineStr">
        <is>
          <t>万能</t>
        </is>
      </c>
      <c r="D5" s="17" t="inlineStr">
        <is>
          <t>1109</t>
        </is>
      </c>
      <c r="E5" s="17" t="inlineStr">
        <is>
          <t>3856</t>
        </is>
      </c>
      <c r="F5" s="17" t="inlineStr">
        <is>
          <t>0175</t>
        </is>
      </c>
      <c r="G5" s="3" t="n"/>
      <c r="H5" s="19">
        <f>IF(D5="","",VALUE(MID(TEXT(D5,"0000"),1,1)))</f>
        <v/>
      </c>
      <c r="I5" s="19">
        <f>IF(E5="","",VALUE(MID(TEXT(E5,"0000"),1,1)))</f>
        <v/>
      </c>
      <c r="J5" s="19">
        <f>IF(F5="","",VALUE(MID(TEXT(F5,"0000"),1,1)))</f>
        <v/>
      </c>
      <c r="K5" s="20">
        <f>IF(D5="","",IF(COUNTIF(H5:J5,"&gt;=5")=3,"🔴 全大",IF(COUNTIF(H5:J5,"&gt;=5")=0,"🔵 全小",IF(COUNTIF(H5:J5,"&gt;=5")=2,"▲ 偏大","▼ 偏小"))))</f>
        <v/>
      </c>
      <c r="L5" s="20">
        <f>IF(D5="","",IF((MOD(H5,2)=1)+(MOD(I5,2)=1)+(MOD(J5,2)=1)=3,"⚫ 全单",IF((MOD(H5,2)=1)+(MOD(I5,2)=1)+(MOD(J5,2)=1)=0,"🟣 全双",IF((MOD(H5,2)=1)+(MOD(I5,2)=1)+(MOD(J5,2)=1)=2,"◑ 偏单","◑ 偏双"))))</f>
        <v/>
      </c>
      <c r="M5" s="21">
        <f>IF(D5="","",1)</f>
        <v/>
      </c>
      <c r="N5" s="20">
        <f>IF(M5="","",IF(M5&gt;=4,"🚨 "&amp;M5&amp;"期·警惕反转",IF(M5=3,"⚠️ 3期连续","—")))</f>
        <v/>
      </c>
      <c r="O5" s="22">
        <f>IF(K5="","—",IF(ISNUMBER(SEARCH("大",K5)),IF(OR(K5="🔴 全大"),IF(M5&gt;=4,"大xxx 强·⚠️反转?",IF(M5=3,"大xxx 强·连3期","大xxx ✅强用")),"大xxx △弱参考"),IF(OR(K5="🔵 全小"),IF(M5&gt;=4,"小xxx 强·⚠️反转?",IF(M5=3,"小xxx 强·连3期","小xxx ✅强用")),"小xxx △弱参考")))</f>
        <v/>
      </c>
      <c r="P5" s="3" t="n"/>
      <c r="Q5" s="23">
        <f>IF(D5="","",VALUE(MID(TEXT(D5,"0000"),2,1)))</f>
        <v/>
      </c>
      <c r="R5" s="23">
        <f>IF(E5="","",VALUE(MID(TEXT(E5,"0000"),2,1)))</f>
        <v/>
      </c>
      <c r="S5" s="23">
        <f>IF(F5="","",VALUE(MID(TEXT(F5,"0000"),2,1)))</f>
        <v/>
      </c>
      <c r="T5" s="20">
        <f>IF(D5="","",IF(COUNTIF(Q5:S5,"&gt;=5")=3,"🔴 全大",IF(COUNTIF(Q5:S5,"&gt;=5")=0,"🔵 全小",IF(COUNTIF(Q5:S5,"&gt;=5")=2,"▲ 偏大","▼ 偏小"))))</f>
        <v/>
      </c>
      <c r="U5" s="20">
        <f>IF(D5="","",IF((MOD(Q5,2)=1)+(MOD(R5,2)=1)+(MOD(S5,2)=1)=3,"⚫ 全单",IF((MOD(Q5,2)=1)+(MOD(R5,2)=1)+(MOD(S5,2)=1)=0,"🟣 全双",IF((MOD(Q5,2)=1)+(MOD(R5,2)=1)+(MOD(S5,2)=1)=2,"◑ 偏单","◑ 偏双"))))</f>
        <v/>
      </c>
      <c r="V5" s="24">
        <f>IF(D5="","",1)</f>
        <v/>
      </c>
      <c r="W5" s="20">
        <f>IF(V5="","",IF(V5&gt;=4,"🚨 "&amp;V5&amp;"期·警惕反转",IF(V5=3,"⚠️ 3期连续","—")))</f>
        <v/>
      </c>
      <c r="X5" s="22">
        <f>IF(T5="","—",IF(ISNUMBER(SEARCH("大",T5)),IF(OR(T5="🔴 全大"),IF(V5&gt;=4,"x大xx 强·⚠️反转?",IF(V5=3,"x大xx 强·连3期","x大xx ✅强用")),"x大xx △弱参考"),IF(OR(T5="🔵 全小"),IF(V5&gt;=4,"x小xx 强·⚠️反转?",IF(V5=3,"x小xx 强·连3期","x小xx ✅强用")),"x小xx △弱参考")))</f>
        <v/>
      </c>
      <c r="Y5" s="3" t="n"/>
      <c r="Z5" s="25">
        <f>IF(D5="","",VALUE(MID(TEXT(D5,"0000"),3,1)))</f>
        <v/>
      </c>
      <c r="AA5" s="25">
        <f>IF(E5="","",VALUE(MID(TEXT(E5,"0000"),3,1)))</f>
        <v/>
      </c>
      <c r="AB5" s="25">
        <f>IF(F5="","",VALUE(MID(TEXT(F5,"0000"),3,1)))</f>
        <v/>
      </c>
      <c r="AC5" s="20">
        <f>IF(D5="","",IF(COUNTIF(Z5:AB5,"&gt;=5")=3,"🔴 全大",IF(COUNTIF(Z5:AB5,"&gt;=5")=0,"🔵 全小",IF(COUNTIF(Z5:AB5,"&gt;=5")=2,"▲ 偏大","▼ 偏小"))))</f>
        <v/>
      </c>
      <c r="AD5" s="20">
        <f>IF(D5="","",IF((MOD(Z5,2)=1)+(MOD(AA5,2)=1)+(MOD(AB5,2)=1)=3,"⚫ 全单",IF((MOD(Z5,2)=1)+(MOD(AA5,2)=1)+(MOD(AB5,2)=1)=0,"🟣 全双",IF((MOD(Z5,2)=1)+(MOD(AA5,2)=1)+(MOD(AB5,2)=1)=2,"◑ 偏单","◑ 偏双"))))</f>
        <v/>
      </c>
      <c r="AE5" s="26">
        <f>IF(D5="","",1)</f>
        <v/>
      </c>
      <c r="AF5" s="20">
        <f>IF(AE5="","",IF(AE5&gt;=4,"🚨 "&amp;AE5&amp;"期·警惕反转",IF(AE5=3,"⚠️ 3期连续","—")))</f>
        <v/>
      </c>
      <c r="AG5" s="22">
        <f>IF(AC5="","—",IF(ISNUMBER(SEARCH("大",AC5)),IF(OR(AC5="🔴 全大"),IF(AE5&gt;=4,"xx大x 强·⚠️反转?",IF(AE5=3,"xx大x 强·连3期","xx大x ✅强用")),"xx大x △弱参考"),IF(OR(AC5="🔵 全小"),IF(AE5&gt;=4,"xx小x 强·⚠️反转?",IF(AE5=3,"xx小x 强·连3期","xx小x ✅强用")),"xx小x △弱参考")))</f>
        <v/>
      </c>
      <c r="AH5" s="3" t="n"/>
      <c r="AI5" s="27">
        <f>IF(D5="","",VALUE(MID(TEXT(D5,"0000"),4,1)))</f>
        <v/>
      </c>
      <c r="AJ5" s="27">
        <f>IF(E5="","",VALUE(MID(TEXT(E5,"0000"),4,1)))</f>
        <v/>
      </c>
      <c r="AK5" s="27">
        <f>IF(F5="","",VALUE(MID(TEXT(F5,"0000"),4,1)))</f>
        <v/>
      </c>
      <c r="AL5" s="20">
        <f>IF(D5="","",IF(COUNTIF(AI5:AK5,"&gt;=5")=3,"🔴 全大",IF(COUNTIF(AI5:AK5,"&gt;=5")=0,"🔵 全小",IF(COUNTIF(AI5:AK5,"&gt;=5")=2,"▲ 偏大","▼ 偏小"))))</f>
        <v/>
      </c>
      <c r="AM5" s="20">
        <f>IF(D5="","",IF((MOD(AI5,2)=1)+(MOD(AJ5,2)=1)+(MOD(AK5,2)=1)=3,"⚫ 全单",IF((MOD(AI5,2)=1)+(MOD(AJ5,2)=1)+(MOD(AK5,2)=1)=0,"🟣 全双",IF((MOD(AI5,2)=1)+(MOD(AJ5,2)=1)+(MOD(AK5,2)=1)=2,"◑ 偏单","◑ 偏双"))))</f>
        <v/>
      </c>
      <c r="AN5" s="28">
        <f>IF(D5="","",1)</f>
        <v/>
      </c>
      <c r="AO5" s="20">
        <f>IF(AN5="","",IF(AN5&gt;=4,"🚨 "&amp;AN5&amp;"期·警惕反转",IF(AN5=3,"⚠️ 3期连续","—")))</f>
        <v/>
      </c>
      <c r="AP5" s="22">
        <f>IF(AL5="","—",IF(ISNUMBER(SEARCH("大",AL5)),IF(OR(AL5="🔴 全大"),IF(AN5&gt;=4,"xxx大 强·⚠️反转?",IF(AN5=3,"xxx大 强·连3期","xxx大 ✅强用")),"xxx大 △弱参考"),IF(OR(AL5="🔵 全小"),IF(AN5&gt;=4,"xxx小 强·⚠️反转?",IF(AN5=3,"xxx小 强·连3期","xxx小 ✅强用")),"xxx小 △弱参考")))</f>
        <v/>
      </c>
      <c r="AQ5" s="3" t="n"/>
      <c r="AR5" s="29" t="inlineStr">
        <is>
          <t>—</t>
        </is>
      </c>
      <c r="AS5" s="29" t="inlineStr">
        <is>
          <t>—</t>
        </is>
      </c>
      <c r="AT5" s="29" t="inlineStr">
        <is>
          <t>—</t>
        </is>
      </c>
      <c r="AU5" s="29" t="inlineStr">
        <is>
          <t>—</t>
        </is>
      </c>
      <c r="AW5" s="30" t="n"/>
    </row>
    <row r="6" ht="18" customHeight="1">
      <c r="A6" s="16" t="n">
        <v>2</v>
      </c>
      <c r="B6" s="17" t="inlineStr">
        <is>
          <t>2026-05-03</t>
        </is>
      </c>
      <c r="C6" s="18" t="inlineStr">
        <is>
          <t>万能</t>
        </is>
      </c>
      <c r="D6" s="17" t="inlineStr">
        <is>
          <t>0405</t>
        </is>
      </c>
      <c r="E6" s="17" t="inlineStr">
        <is>
          <t>2299</t>
        </is>
      </c>
      <c r="F6" s="17" t="inlineStr">
        <is>
          <t>1712</t>
        </is>
      </c>
      <c r="G6" s="3" t="n"/>
      <c r="H6" s="19">
        <f>IF(D6="","",VALUE(MID(TEXT(D6,"0000"),1,1)))</f>
        <v/>
      </c>
      <c r="I6" s="19">
        <f>IF(E6="","",VALUE(MID(TEXT(E6,"0000"),1,1)))</f>
        <v/>
      </c>
      <c r="J6" s="19">
        <f>IF(F6="","",VALUE(MID(TEXT(F6,"0000"),1,1)))</f>
        <v/>
      </c>
      <c r="K6" s="31">
        <f>IF(D6="","",IF(COUNTIF(H6:J6,"&gt;=5")=3,"🔴 全大",IF(COUNTIF(H6:J6,"&gt;=5")=0,"🔵 全小",IF(COUNTIF(H6:J6,"&gt;=5")=2,"▲ 偏大","▼ 偏小"))))</f>
        <v/>
      </c>
      <c r="L6" s="31">
        <f>IF(D6="","",IF((MOD(H6,2)=1)+(MOD(I6,2)=1)+(MOD(J6,2)=1)=3,"⚫ 全单",IF((MOD(H6,2)=1)+(MOD(I6,2)=1)+(MOD(J6,2)=1)=0,"🟣 全双",IF((MOD(H6,2)=1)+(MOD(I6,2)=1)+(MOD(J6,2)=1)=2,"◑ 偏单","◑ 偏双"))))</f>
        <v/>
      </c>
      <c r="M6" s="32">
        <f>IF(D6="","",IF(D5="",1,IF(ISNUMBER(SEARCH("大",K6))=ISNUMBER(SEARCH("大",K5)),M5+1,1)))</f>
        <v/>
      </c>
      <c r="N6" s="31">
        <f>IF(M6="","",IF(M6&gt;=4,"🚨 "&amp;M6&amp;"期·警惕反转",IF(M6=3,"⚠️ 3期连续","—")))</f>
        <v/>
      </c>
      <c r="O6" s="22">
        <f>IF(K6="","—",IF(ISNUMBER(SEARCH("大",K6)),IF(OR(K6="🔴 全大"),IF(M6&gt;=4,"大xxx 强·⚠️反转?",IF(M6=3,"大xxx 强·连3期","大xxx ✅强用")),"大xxx △弱参考"),IF(OR(K6="🔵 全小"),IF(M6&gt;=4,"小xxx 强·⚠️反转?",IF(M6=3,"小xxx 强·连3期","小xxx ✅强用")),"小xxx △弱参考")))</f>
        <v/>
      </c>
      <c r="P6" s="3" t="n"/>
      <c r="Q6" s="23">
        <f>IF(D6="","",VALUE(MID(TEXT(D6,"0000"),2,1)))</f>
        <v/>
      </c>
      <c r="R6" s="23">
        <f>IF(E6="","",VALUE(MID(TEXT(E6,"0000"),2,1)))</f>
        <v/>
      </c>
      <c r="S6" s="23">
        <f>IF(F6="","",VALUE(MID(TEXT(F6,"0000"),2,1)))</f>
        <v/>
      </c>
      <c r="T6" s="31">
        <f>IF(D6="","",IF(COUNTIF(Q6:S6,"&gt;=5")=3,"🔴 全大",IF(COUNTIF(Q6:S6,"&gt;=5")=0,"🔵 全小",IF(COUNTIF(Q6:S6,"&gt;=5")=2,"▲ 偏大","▼ 偏小"))))</f>
        <v/>
      </c>
      <c r="U6" s="31">
        <f>IF(D6="","",IF((MOD(Q6,2)=1)+(MOD(R6,2)=1)+(MOD(S6,2)=1)=3,"⚫ 全单",IF((MOD(Q6,2)=1)+(MOD(R6,2)=1)+(MOD(S6,2)=1)=0,"🟣 全双",IF((MOD(Q6,2)=1)+(MOD(R6,2)=1)+(MOD(S6,2)=1)=2,"◑ 偏单","◑ 偏双"))))</f>
        <v/>
      </c>
      <c r="V6" s="33">
        <f>IF(D6="","",IF(D5="",1,IF(ISNUMBER(SEARCH("大",T6))=ISNUMBER(SEARCH("大",T5)),V5+1,1)))</f>
        <v/>
      </c>
      <c r="W6" s="31">
        <f>IF(V6="","",IF(V6&gt;=4,"🚨 "&amp;V6&amp;"期·警惕反转",IF(V6=3,"⚠️ 3期连续","—")))</f>
        <v/>
      </c>
      <c r="X6" s="22">
        <f>IF(T6="","—",IF(ISNUMBER(SEARCH("大",T6)),IF(OR(T6="🔴 全大"),IF(V6&gt;=4,"x大xx 强·⚠️反转?",IF(V6=3,"x大xx 强·连3期","x大xx ✅强用")),"x大xx △弱参考"),IF(OR(T6="🔵 全小"),IF(V6&gt;=4,"x小xx 强·⚠️反转?",IF(V6=3,"x小xx 强·连3期","x小xx ✅强用")),"x小xx △弱参考")))</f>
        <v/>
      </c>
      <c r="Y6" s="3" t="n"/>
      <c r="Z6" s="25">
        <f>IF(D6="","",VALUE(MID(TEXT(D6,"0000"),3,1)))</f>
        <v/>
      </c>
      <c r="AA6" s="25">
        <f>IF(E6="","",VALUE(MID(TEXT(E6,"0000"),3,1)))</f>
        <v/>
      </c>
      <c r="AB6" s="25">
        <f>IF(F6="","",VALUE(MID(TEXT(F6,"0000"),3,1)))</f>
        <v/>
      </c>
      <c r="AC6" s="31">
        <f>IF(D6="","",IF(COUNTIF(Z6:AB6,"&gt;=5")=3,"🔴 全大",IF(COUNTIF(Z6:AB6,"&gt;=5")=0,"🔵 全小",IF(COUNTIF(Z6:AB6,"&gt;=5")=2,"▲ 偏大","▼ 偏小"))))</f>
        <v/>
      </c>
      <c r="AD6" s="31">
        <f>IF(D6="","",IF((MOD(Z6,2)=1)+(MOD(AA6,2)=1)+(MOD(AB6,2)=1)=3,"⚫ 全单",IF((MOD(Z6,2)=1)+(MOD(AA6,2)=1)+(MOD(AB6,2)=1)=0,"🟣 全双",IF((MOD(Z6,2)=1)+(MOD(AA6,2)=1)+(MOD(AB6,2)=1)=2,"◑ 偏单","◑ 偏双"))))</f>
        <v/>
      </c>
      <c r="AE6" s="34">
        <f>IF(D6="","",IF(D5="",1,IF(ISNUMBER(SEARCH("大",AC6))=ISNUMBER(SEARCH("大",AC5)),AE5+1,1)))</f>
        <v/>
      </c>
      <c r="AF6" s="31">
        <f>IF(AE6="","",IF(AE6&gt;=4,"🚨 "&amp;AE6&amp;"期·警惕反转",IF(AE6=3,"⚠️ 3期连续","—")))</f>
        <v/>
      </c>
      <c r="AG6" s="22">
        <f>IF(AC6="","—",IF(ISNUMBER(SEARCH("大",AC6)),IF(OR(AC6="🔴 全大"),IF(AE6&gt;=4,"xx大x 强·⚠️反转?",IF(AE6=3,"xx大x 强·连3期","xx大x ✅强用")),"xx大x △弱参考"),IF(OR(AC6="🔵 全小"),IF(AE6&gt;=4,"xx小x 强·⚠️反转?",IF(AE6=3,"xx小x 强·连3期","xx小x ✅强用")),"xx小x △弱参考")))</f>
        <v/>
      </c>
      <c r="AH6" s="3" t="n"/>
      <c r="AI6" s="27">
        <f>IF(D6="","",VALUE(MID(TEXT(D6,"0000"),4,1)))</f>
        <v/>
      </c>
      <c r="AJ6" s="27">
        <f>IF(E6="","",VALUE(MID(TEXT(E6,"0000"),4,1)))</f>
        <v/>
      </c>
      <c r="AK6" s="27">
        <f>IF(F6="","",VALUE(MID(TEXT(F6,"0000"),4,1)))</f>
        <v/>
      </c>
      <c r="AL6" s="31">
        <f>IF(D6="","",IF(COUNTIF(AI6:AK6,"&gt;=5")=3,"🔴 全大",IF(COUNTIF(AI6:AK6,"&gt;=5")=0,"🔵 全小",IF(COUNTIF(AI6:AK6,"&gt;=5")=2,"▲ 偏大","▼ 偏小"))))</f>
        <v/>
      </c>
      <c r="AM6" s="31">
        <f>IF(D6="","",IF((MOD(AI6,2)=1)+(MOD(AJ6,2)=1)+(MOD(AK6,2)=1)=3,"⚫ 全单",IF((MOD(AI6,2)=1)+(MOD(AJ6,2)=1)+(MOD(AK6,2)=1)=0,"🟣 全双",IF((MOD(AI6,2)=1)+(MOD(AJ6,2)=1)+(MOD(AK6,2)=1)=2,"◑ 偏单","◑ 偏双"))))</f>
        <v/>
      </c>
      <c r="AN6" s="35">
        <f>IF(D6="","",IF(D5="",1,IF(ISNUMBER(SEARCH("大",AL6))=ISNUMBER(SEARCH("大",AL5)),AN5+1,1)))</f>
        <v/>
      </c>
      <c r="AO6" s="31">
        <f>IF(AN6="","",IF(AN6&gt;=4,"🚨 "&amp;AN6&amp;"期·警惕反转",IF(AN6=3,"⚠️ 3期连续","—")))</f>
        <v/>
      </c>
      <c r="AP6" s="22">
        <f>IF(AL6="","—",IF(ISNUMBER(SEARCH("大",AL6)),IF(OR(AL6="🔴 全大"),IF(AN6&gt;=4,"xxx大 强·⚠️反转?",IF(AN6=3,"xxx大 强·连3期","xxx大 ✅强用")),"xxx大 △弱参考"),IF(OR(AL6="🔵 全小"),IF(AN6&gt;=4,"xxx小 强·⚠️反转?",IF(AN6=3,"xxx小 强·连3期","xxx小 ✅强用")),"xxx小 △弱参考")))</f>
        <v/>
      </c>
      <c r="AQ6" s="3" t="n"/>
      <c r="AR6" s="31">
        <f>IF(OR(D6="",D5=""),"—",IF(K5="","—",IF(ISNUMBER(SEARCH("大",K5)),IF(COUNTIF(H6:J6,"&gt;=5")&gt;=2,"✅","❌"),IF(COUNTIF(H6:J6,"&gt;=5")&lt;=1,"✅","❌"))))</f>
        <v/>
      </c>
      <c r="AS6" s="31">
        <f>IF(OR(D6="",D5=""),"—",IF(T5="","—",IF(ISNUMBER(SEARCH("大",T5)),IF(COUNTIF(Q6:S6,"&gt;=5")&gt;=2,"✅","❌"),IF(COUNTIF(Q6:S6,"&gt;=5")&lt;=1,"✅","❌"))))</f>
        <v/>
      </c>
      <c r="AT6" s="31">
        <f>IF(OR(D6="",D5=""),"—",IF(AC5="","—",IF(ISNUMBER(SEARCH("大",AC5)),IF(COUNTIF(Z6:AB6,"&gt;=5")&gt;=2,"✅","❌"),IF(COUNTIF(Z6:AB6,"&gt;=5")&lt;=1,"✅","❌"))))</f>
        <v/>
      </c>
      <c r="AU6" s="31">
        <f>IF(OR(D6="",D5=""),"—",IF(AL5="","—",IF(ISNUMBER(SEARCH("大",AL5)),IF(COUNTIF(AI6:AK6,"&gt;=5")&gt;=2,"✅","❌"),IF(COUNTIF(AI6:AK6,"&gt;=5")&lt;=1,"✅","❌"))))</f>
        <v/>
      </c>
      <c r="AW6" s="36" t="n"/>
    </row>
    <row r="7" ht="18" customHeight="1">
      <c r="A7" s="16" t="n">
        <v>3</v>
      </c>
      <c r="B7" s="17" t="inlineStr">
        <is>
          <t>2026-05-06</t>
        </is>
      </c>
      <c r="C7" s="18" t="inlineStr">
        <is>
          <t>万能</t>
        </is>
      </c>
      <c r="D7" s="17" t="inlineStr">
        <is>
          <t>1902</t>
        </is>
      </c>
      <c r="E7" s="17" t="inlineStr">
        <is>
          <t>6845</t>
        </is>
      </c>
      <c r="F7" s="17" t="inlineStr">
        <is>
          <t>0935</t>
        </is>
      </c>
      <c r="G7" s="3" t="n"/>
      <c r="H7" s="19">
        <f>IF(D7="","",VALUE(MID(TEXT(D7,"0000"),1,1)))</f>
        <v/>
      </c>
      <c r="I7" s="19">
        <f>IF(E7="","",VALUE(MID(TEXT(E7,"0000"),1,1)))</f>
        <v/>
      </c>
      <c r="J7" s="19">
        <f>IF(F7="","",VALUE(MID(TEXT(F7,"0000"),1,1)))</f>
        <v/>
      </c>
      <c r="K7" s="20">
        <f>IF(D7="","",IF(COUNTIF(H7:J7,"&gt;=5")=3,"🔴 全大",IF(COUNTIF(H7:J7,"&gt;=5")=0,"🔵 全小",IF(COUNTIF(H7:J7,"&gt;=5")=2,"▲ 偏大","▼ 偏小"))))</f>
        <v/>
      </c>
      <c r="L7" s="20">
        <f>IF(D7="","",IF((MOD(H7,2)=1)+(MOD(I7,2)=1)+(MOD(J7,2)=1)=3,"⚫ 全单",IF((MOD(H7,2)=1)+(MOD(I7,2)=1)+(MOD(J7,2)=1)=0,"🟣 全双",IF((MOD(H7,2)=1)+(MOD(I7,2)=1)+(MOD(J7,2)=1)=2,"◑ 偏单","◑ 偏双"))))</f>
        <v/>
      </c>
      <c r="M7" s="21">
        <f>IF(D7="","",IF(D6="",1,IF(ISNUMBER(SEARCH("大",K7))=ISNUMBER(SEARCH("大",K6)),M6+1,1)))</f>
        <v/>
      </c>
      <c r="N7" s="20">
        <f>IF(M7="","",IF(M7&gt;=4,"🚨 "&amp;M7&amp;"期·警惕反转",IF(M7=3,"⚠️ 3期连续","—")))</f>
        <v/>
      </c>
      <c r="O7" s="22">
        <f>IF(K7="","—",IF(ISNUMBER(SEARCH("大",K7)),IF(OR(K7="🔴 全大"),IF(M7&gt;=4,"大xxx 强·⚠️反转?",IF(M7=3,"大xxx 强·连3期","大xxx ✅强用")),"大xxx △弱参考"),IF(OR(K7="🔵 全小"),IF(M7&gt;=4,"小xxx 强·⚠️反转?",IF(M7=3,"小xxx 强·连3期","小xxx ✅强用")),"小xxx △弱参考")))</f>
        <v/>
      </c>
      <c r="P7" s="3" t="n"/>
      <c r="Q7" s="23">
        <f>IF(D7="","",VALUE(MID(TEXT(D7,"0000"),2,1)))</f>
        <v/>
      </c>
      <c r="R7" s="23">
        <f>IF(E7="","",VALUE(MID(TEXT(E7,"0000"),2,1)))</f>
        <v/>
      </c>
      <c r="S7" s="23">
        <f>IF(F7="","",VALUE(MID(TEXT(F7,"0000"),2,1)))</f>
        <v/>
      </c>
      <c r="T7" s="20">
        <f>IF(D7="","",IF(COUNTIF(Q7:S7,"&gt;=5")=3,"🔴 全大",IF(COUNTIF(Q7:S7,"&gt;=5")=0,"🔵 全小",IF(COUNTIF(Q7:S7,"&gt;=5")=2,"▲ 偏大","▼ 偏小"))))</f>
        <v/>
      </c>
      <c r="U7" s="20">
        <f>IF(D7="","",IF((MOD(Q7,2)=1)+(MOD(R7,2)=1)+(MOD(S7,2)=1)=3,"⚫ 全单",IF((MOD(Q7,2)=1)+(MOD(R7,2)=1)+(MOD(S7,2)=1)=0,"🟣 全双",IF((MOD(Q7,2)=1)+(MOD(R7,2)=1)+(MOD(S7,2)=1)=2,"◑ 偏单","◑ 偏双"))))</f>
        <v/>
      </c>
      <c r="V7" s="24">
        <f>IF(D7="","",IF(D6="",1,IF(ISNUMBER(SEARCH("大",T7))=ISNUMBER(SEARCH("大",T6)),V6+1,1)))</f>
        <v/>
      </c>
      <c r="W7" s="20">
        <f>IF(V7="","",IF(V7&gt;=4,"🚨 "&amp;V7&amp;"期·警惕反转",IF(V7=3,"⚠️ 3期连续","—")))</f>
        <v/>
      </c>
      <c r="X7" s="22">
        <f>IF(T7="","—",IF(ISNUMBER(SEARCH("大",T7)),IF(OR(T7="🔴 全大"),IF(V7&gt;=4,"x大xx 强·⚠️反转?",IF(V7=3,"x大xx 强·连3期","x大xx ✅强用")),"x大xx △弱参考"),IF(OR(T7="🔵 全小"),IF(V7&gt;=4,"x小xx 强·⚠️反转?",IF(V7=3,"x小xx 强·连3期","x小xx ✅强用")),"x小xx △弱参考")))</f>
        <v/>
      </c>
      <c r="Y7" s="3" t="n"/>
      <c r="Z7" s="25">
        <f>IF(D7="","",VALUE(MID(TEXT(D7,"0000"),3,1)))</f>
        <v/>
      </c>
      <c r="AA7" s="25">
        <f>IF(E7="","",VALUE(MID(TEXT(E7,"0000"),3,1)))</f>
        <v/>
      </c>
      <c r="AB7" s="25">
        <f>IF(F7="","",VALUE(MID(TEXT(F7,"0000"),3,1)))</f>
        <v/>
      </c>
      <c r="AC7" s="20">
        <f>IF(D7="","",IF(COUNTIF(Z7:AB7,"&gt;=5")=3,"🔴 全大",IF(COUNTIF(Z7:AB7,"&gt;=5")=0,"🔵 全小",IF(COUNTIF(Z7:AB7,"&gt;=5")=2,"▲ 偏大","▼ 偏小"))))</f>
        <v/>
      </c>
      <c r="AD7" s="20">
        <f>IF(D7="","",IF((MOD(Z7,2)=1)+(MOD(AA7,2)=1)+(MOD(AB7,2)=1)=3,"⚫ 全单",IF((MOD(Z7,2)=1)+(MOD(AA7,2)=1)+(MOD(AB7,2)=1)=0,"🟣 全双",IF((MOD(Z7,2)=1)+(MOD(AA7,2)=1)+(MOD(AB7,2)=1)=2,"◑ 偏单","◑ 偏双"))))</f>
        <v/>
      </c>
      <c r="AE7" s="26">
        <f>IF(D7="","",IF(D6="",1,IF(ISNUMBER(SEARCH("大",AC7))=ISNUMBER(SEARCH("大",AC6)),AE6+1,1)))</f>
        <v/>
      </c>
      <c r="AF7" s="20">
        <f>IF(AE7="","",IF(AE7&gt;=4,"🚨 "&amp;AE7&amp;"期·警惕反转",IF(AE7=3,"⚠️ 3期连续","—")))</f>
        <v/>
      </c>
      <c r="AG7" s="22">
        <f>IF(AC7="","—",IF(ISNUMBER(SEARCH("大",AC7)),IF(OR(AC7="🔴 全大"),IF(AE7&gt;=4,"xx大x 强·⚠️反转?",IF(AE7=3,"xx大x 强·连3期","xx大x ✅强用")),"xx大x △弱参考"),IF(OR(AC7="🔵 全小"),IF(AE7&gt;=4,"xx小x 强·⚠️反转?",IF(AE7=3,"xx小x 强·连3期","xx小x ✅强用")),"xx小x △弱参考")))</f>
        <v/>
      </c>
      <c r="AH7" s="3" t="n"/>
      <c r="AI7" s="27">
        <f>IF(D7="","",VALUE(MID(TEXT(D7,"0000"),4,1)))</f>
        <v/>
      </c>
      <c r="AJ7" s="27">
        <f>IF(E7="","",VALUE(MID(TEXT(E7,"0000"),4,1)))</f>
        <v/>
      </c>
      <c r="AK7" s="27">
        <f>IF(F7="","",VALUE(MID(TEXT(F7,"0000"),4,1)))</f>
        <v/>
      </c>
      <c r="AL7" s="20">
        <f>IF(D7="","",IF(COUNTIF(AI7:AK7,"&gt;=5")=3,"🔴 全大",IF(COUNTIF(AI7:AK7,"&gt;=5")=0,"🔵 全小",IF(COUNTIF(AI7:AK7,"&gt;=5")=2,"▲ 偏大","▼ 偏小"))))</f>
        <v/>
      </c>
      <c r="AM7" s="20">
        <f>IF(D7="","",IF((MOD(AI7,2)=1)+(MOD(AJ7,2)=1)+(MOD(AK7,2)=1)=3,"⚫ 全单",IF((MOD(AI7,2)=1)+(MOD(AJ7,2)=1)+(MOD(AK7,2)=1)=0,"🟣 全双",IF((MOD(AI7,2)=1)+(MOD(AJ7,2)=1)+(MOD(AK7,2)=1)=2,"◑ 偏单","◑ 偏双"))))</f>
        <v/>
      </c>
      <c r="AN7" s="28">
        <f>IF(D7="","",IF(D6="",1,IF(ISNUMBER(SEARCH("大",AL7))=ISNUMBER(SEARCH("大",AL6)),AN6+1,1)))</f>
        <v/>
      </c>
      <c r="AO7" s="20">
        <f>IF(AN7="","",IF(AN7&gt;=4,"🚨 "&amp;AN7&amp;"期·警惕反转",IF(AN7=3,"⚠️ 3期连续","—")))</f>
        <v/>
      </c>
      <c r="AP7" s="22">
        <f>IF(AL7="","—",IF(ISNUMBER(SEARCH("大",AL7)),IF(OR(AL7="🔴 全大"),IF(AN7&gt;=4,"xxx大 强·⚠️反转?",IF(AN7=3,"xxx大 强·连3期","xxx大 ✅强用")),"xxx大 △弱参考"),IF(OR(AL7="🔵 全小"),IF(AN7&gt;=4,"xxx小 强·⚠️反转?",IF(AN7=3,"xxx小 强·连3期","xxx小 ✅强用")),"xxx小 △弱参考")))</f>
        <v/>
      </c>
      <c r="AQ7" s="3" t="n"/>
      <c r="AR7" s="20">
        <f>IF(OR(D7="",D6=""),"—",IF(K6="","—",IF(ISNUMBER(SEARCH("大",K6)),IF(COUNTIF(H7:J7,"&gt;=5")&gt;=2,"✅","❌"),IF(COUNTIF(H7:J7,"&gt;=5")&lt;=1,"✅","❌"))))</f>
        <v/>
      </c>
      <c r="AS7" s="20">
        <f>IF(OR(D7="",D6=""),"—",IF(T6="","—",IF(ISNUMBER(SEARCH("大",T6)),IF(COUNTIF(Q7:S7,"&gt;=5")&gt;=2,"✅","❌"),IF(COUNTIF(Q7:S7,"&gt;=5")&lt;=1,"✅","❌"))))</f>
        <v/>
      </c>
      <c r="AT7" s="20">
        <f>IF(OR(D7="",D6=""),"—",IF(AC6="","—",IF(ISNUMBER(SEARCH("大",AC6)),IF(COUNTIF(Z7:AB7,"&gt;=5")&gt;=2,"✅","❌"),IF(COUNTIF(Z7:AB7,"&gt;=5")&lt;=1,"✅","❌"))))</f>
        <v/>
      </c>
      <c r="AU7" s="20">
        <f>IF(OR(D7="",D6=""),"—",IF(AL6="","—",IF(ISNUMBER(SEARCH("大",AL6)),IF(COUNTIF(AI7:AK7,"&gt;=5")&gt;=2,"✅","❌"),IF(COUNTIF(AI7:AK7,"&gt;=5")&lt;=1,"✅","❌"))))</f>
        <v/>
      </c>
      <c r="AW7" s="30" t="n"/>
    </row>
    <row r="8" ht="18" customHeight="1">
      <c r="A8" s="16" t="n">
        <v>4</v>
      </c>
      <c r="B8" s="17" t="inlineStr">
        <is>
          <t>2026-05-09</t>
        </is>
      </c>
      <c r="C8" s="18" t="inlineStr">
        <is>
          <t>万能</t>
        </is>
      </c>
      <c r="D8" s="17" t="inlineStr">
        <is>
          <t>4965</t>
        </is>
      </c>
      <c r="E8" s="17" t="inlineStr">
        <is>
          <t>2753</t>
        </is>
      </c>
      <c r="F8" s="17" t="inlineStr">
        <is>
          <t>7281</t>
        </is>
      </c>
      <c r="G8" s="3" t="n"/>
      <c r="H8" s="19">
        <f>IF(D8="","",VALUE(MID(TEXT(D8,"0000"),1,1)))</f>
        <v/>
      </c>
      <c r="I8" s="19">
        <f>IF(E8="","",VALUE(MID(TEXT(E8,"0000"),1,1)))</f>
        <v/>
      </c>
      <c r="J8" s="19">
        <f>IF(F8="","",VALUE(MID(TEXT(F8,"0000"),1,1)))</f>
        <v/>
      </c>
      <c r="K8" s="31">
        <f>IF(D8="","",IF(COUNTIF(H8:J8,"&gt;=5")=3,"🔴 全大",IF(COUNTIF(H8:J8,"&gt;=5")=0,"🔵 全小",IF(COUNTIF(H8:J8,"&gt;=5")=2,"▲ 偏大","▼ 偏小"))))</f>
        <v/>
      </c>
      <c r="L8" s="31">
        <f>IF(D8="","",IF((MOD(H8,2)=1)+(MOD(I8,2)=1)+(MOD(J8,2)=1)=3,"⚫ 全单",IF((MOD(H8,2)=1)+(MOD(I8,2)=1)+(MOD(J8,2)=1)=0,"🟣 全双",IF((MOD(H8,2)=1)+(MOD(I8,2)=1)+(MOD(J8,2)=1)=2,"◑ 偏单","◑ 偏双"))))</f>
        <v/>
      </c>
      <c r="M8" s="32">
        <f>IF(D8="","",IF(D7="",1,IF(ISNUMBER(SEARCH("大",K8))=ISNUMBER(SEARCH("大",K7)),M7+1,1)))</f>
        <v/>
      </c>
      <c r="N8" s="31">
        <f>IF(M8="","",IF(M8&gt;=4,"🚨 "&amp;M8&amp;"期·警惕反转",IF(M8=3,"⚠️ 3期连续","—")))</f>
        <v/>
      </c>
      <c r="O8" s="22">
        <f>IF(K8="","—",IF(ISNUMBER(SEARCH("大",K8)),IF(OR(K8="🔴 全大"),IF(M8&gt;=4,"大xxx 强·⚠️反转?",IF(M8=3,"大xxx 强·连3期","大xxx ✅强用")),"大xxx △弱参考"),IF(OR(K8="🔵 全小"),IF(M8&gt;=4,"小xxx 强·⚠️反转?",IF(M8=3,"小xxx 强·连3期","小xxx ✅强用")),"小xxx △弱参考")))</f>
        <v/>
      </c>
      <c r="P8" s="3" t="n"/>
      <c r="Q8" s="23">
        <f>IF(D8="","",VALUE(MID(TEXT(D8,"0000"),2,1)))</f>
        <v/>
      </c>
      <c r="R8" s="23">
        <f>IF(E8="","",VALUE(MID(TEXT(E8,"0000"),2,1)))</f>
        <v/>
      </c>
      <c r="S8" s="23">
        <f>IF(F8="","",VALUE(MID(TEXT(F8,"0000"),2,1)))</f>
        <v/>
      </c>
      <c r="T8" s="31">
        <f>IF(D8="","",IF(COUNTIF(Q8:S8,"&gt;=5")=3,"🔴 全大",IF(COUNTIF(Q8:S8,"&gt;=5")=0,"🔵 全小",IF(COUNTIF(Q8:S8,"&gt;=5")=2,"▲ 偏大","▼ 偏小"))))</f>
        <v/>
      </c>
      <c r="U8" s="31">
        <f>IF(D8="","",IF((MOD(Q8,2)=1)+(MOD(R8,2)=1)+(MOD(S8,2)=1)=3,"⚫ 全单",IF((MOD(Q8,2)=1)+(MOD(R8,2)=1)+(MOD(S8,2)=1)=0,"🟣 全双",IF((MOD(Q8,2)=1)+(MOD(R8,2)=1)+(MOD(S8,2)=1)=2,"◑ 偏单","◑ 偏双"))))</f>
        <v/>
      </c>
      <c r="V8" s="33">
        <f>IF(D8="","",IF(D7="",1,IF(ISNUMBER(SEARCH("大",T8))=ISNUMBER(SEARCH("大",T7)),V7+1,1)))</f>
        <v/>
      </c>
      <c r="W8" s="31">
        <f>IF(V8="","",IF(V8&gt;=4,"🚨 "&amp;V8&amp;"期·警惕反转",IF(V8=3,"⚠️ 3期连续","—")))</f>
        <v/>
      </c>
      <c r="X8" s="22">
        <f>IF(T8="","—",IF(ISNUMBER(SEARCH("大",T8)),IF(OR(T8="🔴 全大"),IF(V8&gt;=4,"x大xx 强·⚠️反转?",IF(V8=3,"x大xx 强·连3期","x大xx ✅强用")),"x大xx △弱参考"),IF(OR(T8="🔵 全小"),IF(V8&gt;=4,"x小xx 强·⚠️反转?",IF(V8=3,"x小xx 强·连3期","x小xx ✅强用")),"x小xx △弱参考")))</f>
        <v/>
      </c>
      <c r="Y8" s="3" t="n"/>
      <c r="Z8" s="25">
        <f>IF(D8="","",VALUE(MID(TEXT(D8,"0000"),3,1)))</f>
        <v/>
      </c>
      <c r="AA8" s="25">
        <f>IF(E8="","",VALUE(MID(TEXT(E8,"0000"),3,1)))</f>
        <v/>
      </c>
      <c r="AB8" s="25">
        <f>IF(F8="","",VALUE(MID(TEXT(F8,"0000"),3,1)))</f>
        <v/>
      </c>
      <c r="AC8" s="31">
        <f>IF(D8="","",IF(COUNTIF(Z8:AB8,"&gt;=5")=3,"🔴 全大",IF(COUNTIF(Z8:AB8,"&gt;=5")=0,"🔵 全小",IF(COUNTIF(Z8:AB8,"&gt;=5")=2,"▲ 偏大","▼ 偏小"))))</f>
        <v/>
      </c>
      <c r="AD8" s="31">
        <f>IF(D8="","",IF((MOD(Z8,2)=1)+(MOD(AA8,2)=1)+(MOD(AB8,2)=1)=3,"⚫ 全单",IF((MOD(Z8,2)=1)+(MOD(AA8,2)=1)+(MOD(AB8,2)=1)=0,"🟣 全双",IF((MOD(Z8,2)=1)+(MOD(AA8,2)=1)+(MOD(AB8,2)=1)=2,"◑ 偏单","◑ 偏双"))))</f>
        <v/>
      </c>
      <c r="AE8" s="34">
        <f>IF(D8="","",IF(D7="",1,IF(ISNUMBER(SEARCH("大",AC8))=ISNUMBER(SEARCH("大",AC7)),AE7+1,1)))</f>
        <v/>
      </c>
      <c r="AF8" s="31">
        <f>IF(AE8="","",IF(AE8&gt;=4,"🚨 "&amp;AE8&amp;"期·警惕反转",IF(AE8=3,"⚠️ 3期连续","—")))</f>
        <v/>
      </c>
      <c r="AG8" s="22">
        <f>IF(AC8="","—",IF(ISNUMBER(SEARCH("大",AC8)),IF(OR(AC8="🔴 全大"),IF(AE8&gt;=4,"xx大x 强·⚠️反转?",IF(AE8=3,"xx大x 强·连3期","xx大x ✅强用")),"xx大x △弱参考"),IF(OR(AC8="🔵 全小"),IF(AE8&gt;=4,"xx小x 强·⚠️反转?",IF(AE8=3,"xx小x 强·连3期","xx小x ✅强用")),"xx小x △弱参考")))</f>
        <v/>
      </c>
      <c r="AH8" s="3" t="n"/>
      <c r="AI8" s="27">
        <f>IF(D8="","",VALUE(MID(TEXT(D8,"0000"),4,1)))</f>
        <v/>
      </c>
      <c r="AJ8" s="27">
        <f>IF(E8="","",VALUE(MID(TEXT(E8,"0000"),4,1)))</f>
        <v/>
      </c>
      <c r="AK8" s="27">
        <f>IF(F8="","",VALUE(MID(TEXT(F8,"0000"),4,1)))</f>
        <v/>
      </c>
      <c r="AL8" s="31">
        <f>IF(D8="","",IF(COUNTIF(AI8:AK8,"&gt;=5")=3,"🔴 全大",IF(COUNTIF(AI8:AK8,"&gt;=5")=0,"🔵 全小",IF(COUNTIF(AI8:AK8,"&gt;=5")=2,"▲ 偏大","▼ 偏小"))))</f>
        <v/>
      </c>
      <c r="AM8" s="31">
        <f>IF(D8="","",IF((MOD(AI8,2)=1)+(MOD(AJ8,2)=1)+(MOD(AK8,2)=1)=3,"⚫ 全单",IF((MOD(AI8,2)=1)+(MOD(AJ8,2)=1)+(MOD(AK8,2)=1)=0,"🟣 全双",IF((MOD(AI8,2)=1)+(MOD(AJ8,2)=1)+(MOD(AK8,2)=1)=2,"◑ 偏单","◑ 偏双"))))</f>
        <v/>
      </c>
      <c r="AN8" s="35">
        <f>IF(D8="","",IF(D7="",1,IF(ISNUMBER(SEARCH("大",AL8))=ISNUMBER(SEARCH("大",AL7)),AN7+1,1)))</f>
        <v/>
      </c>
      <c r="AO8" s="31">
        <f>IF(AN8="","",IF(AN8&gt;=4,"🚨 "&amp;AN8&amp;"期·警惕反转",IF(AN8=3,"⚠️ 3期连续","—")))</f>
        <v/>
      </c>
      <c r="AP8" s="22">
        <f>IF(AL8="","—",IF(ISNUMBER(SEARCH("大",AL8)),IF(OR(AL8="🔴 全大"),IF(AN8&gt;=4,"xxx大 强·⚠️反转?",IF(AN8=3,"xxx大 强·连3期","xxx大 ✅强用")),"xxx大 △弱参考"),IF(OR(AL8="🔵 全小"),IF(AN8&gt;=4,"xxx小 强·⚠️反转?",IF(AN8=3,"xxx小 强·连3期","xxx小 ✅强用")),"xxx小 △弱参考")))</f>
        <v/>
      </c>
      <c r="AQ8" s="3" t="n"/>
      <c r="AR8" s="31">
        <f>IF(OR(D8="",D7=""),"—",IF(K7="","—",IF(ISNUMBER(SEARCH("大",K7)),IF(COUNTIF(H8:J8,"&gt;=5")&gt;=2,"✅","❌"),IF(COUNTIF(H8:J8,"&gt;=5")&lt;=1,"✅","❌"))))</f>
        <v/>
      </c>
      <c r="AS8" s="31">
        <f>IF(OR(D8="",D7=""),"—",IF(T7="","—",IF(ISNUMBER(SEARCH("大",T7)),IF(COUNTIF(Q8:S8,"&gt;=5")&gt;=2,"✅","❌"),IF(COUNTIF(Q8:S8,"&gt;=5")&lt;=1,"✅","❌"))))</f>
        <v/>
      </c>
      <c r="AT8" s="31">
        <f>IF(OR(D8="",D7=""),"—",IF(AC7="","—",IF(ISNUMBER(SEARCH("大",AC7)),IF(COUNTIF(Z8:AB8,"&gt;=5")&gt;=2,"✅","❌"),IF(COUNTIF(Z8:AB8,"&gt;=5")&lt;=1,"✅","❌"))))</f>
        <v/>
      </c>
      <c r="AU8" s="31">
        <f>IF(OR(D8="",D7=""),"—",IF(AL7="","—",IF(ISNUMBER(SEARCH("大",AL7)),IF(COUNTIF(AI8:AK8,"&gt;=5")&gt;=2,"✅","❌"),IF(COUNTIF(AI8:AK8,"&gt;=5")&lt;=1,"✅","❌"))))</f>
        <v/>
      </c>
      <c r="AW8" s="36" t="n"/>
    </row>
    <row r="9" ht="18" customHeight="1">
      <c r="A9" s="16" t="n">
        <v>5</v>
      </c>
      <c r="B9" s="17" t="inlineStr">
        <is>
          <t>2026-05-10</t>
        </is>
      </c>
      <c r="C9" s="18" t="inlineStr">
        <is>
          <t>万能</t>
        </is>
      </c>
      <c r="D9" s="17" t="inlineStr">
        <is>
          <t>4502</t>
        </is>
      </c>
      <c r="E9" s="17" t="inlineStr">
        <is>
          <t>2128</t>
        </is>
      </c>
      <c r="F9" s="17" t="inlineStr">
        <is>
          <t>2501</t>
        </is>
      </c>
      <c r="G9" s="3" t="n"/>
      <c r="H9" s="19">
        <f>IF(D9="","",VALUE(MID(TEXT(D9,"0000"),1,1)))</f>
        <v/>
      </c>
      <c r="I9" s="19">
        <f>IF(E9="","",VALUE(MID(TEXT(E9,"0000"),1,1)))</f>
        <v/>
      </c>
      <c r="J9" s="19">
        <f>IF(F9="","",VALUE(MID(TEXT(F9,"0000"),1,1)))</f>
        <v/>
      </c>
      <c r="K9" s="20">
        <f>IF(D9="","",IF(COUNTIF(H9:J9,"&gt;=5")=3,"🔴 全大",IF(COUNTIF(H9:J9,"&gt;=5")=0,"🔵 全小",IF(COUNTIF(H9:J9,"&gt;=5")=2,"▲ 偏大","▼ 偏小"))))</f>
        <v/>
      </c>
      <c r="L9" s="20">
        <f>IF(D9="","",IF((MOD(H9,2)=1)+(MOD(I9,2)=1)+(MOD(J9,2)=1)=3,"⚫ 全单",IF((MOD(H9,2)=1)+(MOD(I9,2)=1)+(MOD(J9,2)=1)=0,"🟣 全双",IF((MOD(H9,2)=1)+(MOD(I9,2)=1)+(MOD(J9,2)=1)=2,"◑ 偏单","◑ 偏双"))))</f>
        <v/>
      </c>
      <c r="M9" s="21">
        <f>IF(D9="","",IF(D8="",1,IF(ISNUMBER(SEARCH("大",K9))=ISNUMBER(SEARCH("大",K8)),M8+1,1)))</f>
        <v/>
      </c>
      <c r="N9" s="20">
        <f>IF(M9="","",IF(M9&gt;=4,"🚨 "&amp;M9&amp;"期·警惕反转",IF(M9=3,"⚠️ 3期连续","—")))</f>
        <v/>
      </c>
      <c r="O9" s="22">
        <f>IF(K9="","—",IF(ISNUMBER(SEARCH("大",K9)),IF(OR(K9="🔴 全大"),IF(M9&gt;=4,"大xxx 强·⚠️反转?",IF(M9=3,"大xxx 强·连3期","大xxx ✅强用")),"大xxx △弱参考"),IF(OR(K9="🔵 全小"),IF(M9&gt;=4,"小xxx 强·⚠️反转?",IF(M9=3,"小xxx 强·连3期","小xxx ✅强用")),"小xxx △弱参考")))</f>
        <v/>
      </c>
      <c r="P9" s="3" t="n"/>
      <c r="Q9" s="23">
        <f>IF(D9="","",VALUE(MID(TEXT(D9,"0000"),2,1)))</f>
        <v/>
      </c>
      <c r="R9" s="23">
        <f>IF(E9="","",VALUE(MID(TEXT(E9,"0000"),2,1)))</f>
        <v/>
      </c>
      <c r="S9" s="23">
        <f>IF(F9="","",VALUE(MID(TEXT(F9,"0000"),2,1)))</f>
        <v/>
      </c>
      <c r="T9" s="20">
        <f>IF(D9="","",IF(COUNTIF(Q9:S9,"&gt;=5")=3,"🔴 全大",IF(COUNTIF(Q9:S9,"&gt;=5")=0,"🔵 全小",IF(COUNTIF(Q9:S9,"&gt;=5")=2,"▲ 偏大","▼ 偏小"))))</f>
        <v/>
      </c>
      <c r="U9" s="20">
        <f>IF(D9="","",IF((MOD(Q9,2)=1)+(MOD(R9,2)=1)+(MOD(S9,2)=1)=3,"⚫ 全单",IF((MOD(Q9,2)=1)+(MOD(R9,2)=1)+(MOD(S9,2)=1)=0,"🟣 全双",IF((MOD(Q9,2)=1)+(MOD(R9,2)=1)+(MOD(S9,2)=1)=2,"◑ 偏单","◑ 偏双"))))</f>
        <v/>
      </c>
      <c r="V9" s="24">
        <f>IF(D9="","",IF(D8="",1,IF(ISNUMBER(SEARCH("大",T9))=ISNUMBER(SEARCH("大",T8)),V8+1,1)))</f>
        <v/>
      </c>
      <c r="W9" s="20">
        <f>IF(V9="","",IF(V9&gt;=4,"🚨 "&amp;V9&amp;"期·警惕反转",IF(V9=3,"⚠️ 3期连续","—")))</f>
        <v/>
      </c>
      <c r="X9" s="22">
        <f>IF(T9="","—",IF(ISNUMBER(SEARCH("大",T9)),IF(OR(T9="🔴 全大"),IF(V9&gt;=4,"x大xx 强·⚠️反转?",IF(V9=3,"x大xx 强·连3期","x大xx ✅强用")),"x大xx △弱参考"),IF(OR(T9="🔵 全小"),IF(V9&gt;=4,"x小xx 强·⚠️反转?",IF(V9=3,"x小xx 强·连3期","x小xx ✅强用")),"x小xx △弱参考")))</f>
        <v/>
      </c>
      <c r="Y9" s="3" t="n"/>
      <c r="Z9" s="25">
        <f>IF(D9="","",VALUE(MID(TEXT(D9,"0000"),3,1)))</f>
        <v/>
      </c>
      <c r="AA9" s="25">
        <f>IF(E9="","",VALUE(MID(TEXT(E9,"0000"),3,1)))</f>
        <v/>
      </c>
      <c r="AB9" s="25">
        <f>IF(F9="","",VALUE(MID(TEXT(F9,"0000"),3,1)))</f>
        <v/>
      </c>
      <c r="AC9" s="20">
        <f>IF(D9="","",IF(COUNTIF(Z9:AB9,"&gt;=5")=3,"🔴 全大",IF(COUNTIF(Z9:AB9,"&gt;=5")=0,"🔵 全小",IF(COUNTIF(Z9:AB9,"&gt;=5")=2,"▲ 偏大","▼ 偏小"))))</f>
        <v/>
      </c>
      <c r="AD9" s="20">
        <f>IF(D9="","",IF((MOD(Z9,2)=1)+(MOD(AA9,2)=1)+(MOD(AB9,2)=1)=3,"⚫ 全单",IF((MOD(Z9,2)=1)+(MOD(AA9,2)=1)+(MOD(AB9,2)=1)=0,"🟣 全双",IF((MOD(Z9,2)=1)+(MOD(AA9,2)=1)+(MOD(AB9,2)=1)=2,"◑ 偏单","◑ 偏双"))))</f>
        <v/>
      </c>
      <c r="AE9" s="26">
        <f>IF(D9="","",IF(D8="",1,IF(ISNUMBER(SEARCH("大",AC9))=ISNUMBER(SEARCH("大",AC8)),AE8+1,1)))</f>
        <v/>
      </c>
      <c r="AF9" s="20">
        <f>IF(AE9="","",IF(AE9&gt;=4,"🚨 "&amp;AE9&amp;"期·警惕反转",IF(AE9=3,"⚠️ 3期连续","—")))</f>
        <v/>
      </c>
      <c r="AG9" s="22">
        <f>IF(AC9="","—",IF(ISNUMBER(SEARCH("大",AC9)),IF(OR(AC9="🔴 全大"),IF(AE9&gt;=4,"xx大x 强·⚠️反转?",IF(AE9=3,"xx大x 强·连3期","xx大x ✅强用")),"xx大x △弱参考"),IF(OR(AC9="🔵 全小"),IF(AE9&gt;=4,"xx小x 强·⚠️反转?",IF(AE9=3,"xx小x 强·连3期","xx小x ✅强用")),"xx小x △弱参考")))</f>
        <v/>
      </c>
      <c r="AH9" s="3" t="n"/>
      <c r="AI9" s="27">
        <f>IF(D9="","",VALUE(MID(TEXT(D9,"0000"),4,1)))</f>
        <v/>
      </c>
      <c r="AJ9" s="27">
        <f>IF(E9="","",VALUE(MID(TEXT(E9,"0000"),4,1)))</f>
        <v/>
      </c>
      <c r="AK9" s="27">
        <f>IF(F9="","",VALUE(MID(TEXT(F9,"0000"),4,1)))</f>
        <v/>
      </c>
      <c r="AL9" s="20">
        <f>IF(D9="","",IF(COUNTIF(AI9:AK9,"&gt;=5")=3,"🔴 全大",IF(COUNTIF(AI9:AK9,"&gt;=5")=0,"🔵 全小",IF(COUNTIF(AI9:AK9,"&gt;=5")=2,"▲ 偏大","▼ 偏小"))))</f>
        <v/>
      </c>
      <c r="AM9" s="20">
        <f>IF(D9="","",IF((MOD(AI9,2)=1)+(MOD(AJ9,2)=1)+(MOD(AK9,2)=1)=3,"⚫ 全单",IF((MOD(AI9,2)=1)+(MOD(AJ9,2)=1)+(MOD(AK9,2)=1)=0,"🟣 全双",IF((MOD(AI9,2)=1)+(MOD(AJ9,2)=1)+(MOD(AK9,2)=1)=2,"◑ 偏单","◑ 偏双"))))</f>
        <v/>
      </c>
      <c r="AN9" s="28">
        <f>IF(D9="","",IF(D8="",1,IF(ISNUMBER(SEARCH("大",AL9))=ISNUMBER(SEARCH("大",AL8)),AN8+1,1)))</f>
        <v/>
      </c>
      <c r="AO9" s="20">
        <f>IF(AN9="","",IF(AN9&gt;=4,"🚨 "&amp;AN9&amp;"期·警惕反转",IF(AN9=3,"⚠️ 3期连续","—")))</f>
        <v/>
      </c>
      <c r="AP9" s="22">
        <f>IF(AL9="","—",IF(ISNUMBER(SEARCH("大",AL9)),IF(OR(AL9="🔴 全大"),IF(AN9&gt;=4,"xxx大 强·⚠️反转?",IF(AN9=3,"xxx大 强·连3期","xxx大 ✅强用")),"xxx大 △弱参考"),IF(OR(AL9="🔵 全小"),IF(AN9&gt;=4,"xxx小 强·⚠️反转?",IF(AN9=3,"xxx小 强·连3期","xxx小 ✅强用")),"xxx小 △弱参考")))</f>
        <v/>
      </c>
      <c r="AQ9" s="3" t="n"/>
      <c r="AR9" s="20">
        <f>IF(OR(D9="",D8=""),"—",IF(K8="","—",IF(ISNUMBER(SEARCH("大",K8)),IF(COUNTIF(H9:J9,"&gt;=5")&gt;=2,"✅","❌"),IF(COUNTIF(H9:J9,"&gt;=5")&lt;=1,"✅","❌"))))</f>
        <v/>
      </c>
      <c r="AS9" s="20">
        <f>IF(OR(D9="",D8=""),"—",IF(T8="","—",IF(ISNUMBER(SEARCH("大",T8)),IF(COUNTIF(Q9:S9,"&gt;=5")&gt;=2,"✅","❌"),IF(COUNTIF(Q9:S9,"&gt;=5")&lt;=1,"✅","❌"))))</f>
        <v/>
      </c>
      <c r="AT9" s="20">
        <f>IF(OR(D9="",D8=""),"—",IF(AC8="","—",IF(ISNUMBER(SEARCH("大",AC8)),IF(COUNTIF(Z9:AB9,"&gt;=5")&gt;=2,"✅","❌"),IF(COUNTIF(Z9:AB9,"&gt;=5")&lt;=1,"✅","❌"))))</f>
        <v/>
      </c>
      <c r="AU9" s="20">
        <f>IF(OR(D9="",D8=""),"—",IF(AL8="","—",IF(ISNUMBER(SEARCH("大",AL8)),IF(COUNTIF(AI9:AK9,"&gt;=5")&gt;=2,"✅","❌"),IF(COUNTIF(AI9:AK9,"&gt;=5")&lt;=1,"✅","❌"))))</f>
        <v/>
      </c>
      <c r="AW9" s="30" t="n"/>
    </row>
    <row r="10" ht="18" customHeight="1">
      <c r="A10" s="16" t="n">
        <v>6</v>
      </c>
      <c r="B10" s="17" t="inlineStr">
        <is>
          <t>2026-05-13</t>
        </is>
      </c>
      <c r="C10" s="18" t="inlineStr">
        <is>
          <t>万能</t>
        </is>
      </c>
      <c r="D10" s="17" t="inlineStr">
        <is>
          <t>6449</t>
        </is>
      </c>
      <c r="E10" s="17" t="inlineStr">
        <is>
          <t>6194</t>
        </is>
      </c>
      <c r="F10" s="17" t="inlineStr">
        <is>
          <t>8562</t>
        </is>
      </c>
      <c r="G10" s="3" t="n"/>
      <c r="H10" s="19">
        <f>IF(D10="","",VALUE(MID(TEXT(D10,"0000"),1,1)))</f>
        <v/>
      </c>
      <c r="I10" s="19">
        <f>IF(E10="","",VALUE(MID(TEXT(E10,"0000"),1,1)))</f>
        <v/>
      </c>
      <c r="J10" s="19">
        <f>IF(F10="","",VALUE(MID(TEXT(F10,"0000"),1,1)))</f>
        <v/>
      </c>
      <c r="K10" s="31">
        <f>IF(D10="","",IF(COUNTIF(H10:J10,"&gt;=5")=3,"🔴 全大",IF(COUNTIF(H10:J10,"&gt;=5")=0,"🔵 全小",IF(COUNTIF(H10:J10,"&gt;=5")=2,"▲ 偏大","▼ 偏小"))))</f>
        <v/>
      </c>
      <c r="L10" s="31">
        <f>IF(D10="","",IF((MOD(H10,2)=1)+(MOD(I10,2)=1)+(MOD(J10,2)=1)=3,"⚫ 全单",IF((MOD(H10,2)=1)+(MOD(I10,2)=1)+(MOD(J10,2)=1)=0,"🟣 全双",IF((MOD(H10,2)=1)+(MOD(I10,2)=1)+(MOD(J10,2)=1)=2,"◑ 偏单","◑ 偏双"))))</f>
        <v/>
      </c>
      <c r="M10" s="32">
        <f>IF(D10="","",IF(D9="",1,IF(ISNUMBER(SEARCH("大",K10))=ISNUMBER(SEARCH("大",K9)),M9+1,1)))</f>
        <v/>
      </c>
      <c r="N10" s="31">
        <f>IF(M10="","",IF(M10&gt;=4,"🚨 "&amp;M10&amp;"期·警惕反转",IF(M10=3,"⚠️ 3期连续","—")))</f>
        <v/>
      </c>
      <c r="O10" s="22">
        <f>IF(K10="","—",IF(ISNUMBER(SEARCH("大",K10)),IF(OR(K10="🔴 全大"),IF(M10&gt;=4,"大xxx 强·⚠️反转?",IF(M10=3,"大xxx 强·连3期","大xxx ✅强用")),"大xxx △弱参考"),IF(OR(K10="🔵 全小"),IF(M10&gt;=4,"小xxx 强·⚠️反转?",IF(M10=3,"小xxx 强·连3期","小xxx ✅强用")),"小xxx △弱参考")))</f>
        <v/>
      </c>
      <c r="P10" s="3" t="n"/>
      <c r="Q10" s="23">
        <f>IF(D10="","",VALUE(MID(TEXT(D10,"0000"),2,1)))</f>
        <v/>
      </c>
      <c r="R10" s="23">
        <f>IF(E10="","",VALUE(MID(TEXT(E10,"0000"),2,1)))</f>
        <v/>
      </c>
      <c r="S10" s="23">
        <f>IF(F10="","",VALUE(MID(TEXT(F10,"0000"),2,1)))</f>
        <v/>
      </c>
      <c r="T10" s="31">
        <f>IF(D10="","",IF(COUNTIF(Q10:S10,"&gt;=5")=3,"🔴 全大",IF(COUNTIF(Q10:S10,"&gt;=5")=0,"🔵 全小",IF(COUNTIF(Q10:S10,"&gt;=5")=2,"▲ 偏大","▼ 偏小"))))</f>
        <v/>
      </c>
      <c r="U10" s="31">
        <f>IF(D10="","",IF((MOD(Q10,2)=1)+(MOD(R10,2)=1)+(MOD(S10,2)=1)=3,"⚫ 全单",IF((MOD(Q10,2)=1)+(MOD(R10,2)=1)+(MOD(S10,2)=1)=0,"🟣 全双",IF((MOD(Q10,2)=1)+(MOD(R10,2)=1)+(MOD(S10,2)=1)=2,"◑ 偏单","◑ 偏双"))))</f>
        <v/>
      </c>
      <c r="V10" s="33">
        <f>IF(D10="","",IF(D9="",1,IF(ISNUMBER(SEARCH("大",T10))=ISNUMBER(SEARCH("大",T9)),V9+1,1)))</f>
        <v/>
      </c>
      <c r="W10" s="31">
        <f>IF(V10="","",IF(V10&gt;=4,"🚨 "&amp;V10&amp;"期·警惕反转",IF(V10=3,"⚠️ 3期连续","—")))</f>
        <v/>
      </c>
      <c r="X10" s="22">
        <f>IF(T10="","—",IF(ISNUMBER(SEARCH("大",T10)),IF(OR(T10="🔴 全大"),IF(V10&gt;=4,"x大xx 强·⚠️反转?",IF(V10=3,"x大xx 强·连3期","x大xx ✅强用")),"x大xx △弱参考"),IF(OR(T10="🔵 全小"),IF(V10&gt;=4,"x小xx 强·⚠️反转?",IF(V10=3,"x小xx 强·连3期","x小xx ✅强用")),"x小xx △弱参考")))</f>
        <v/>
      </c>
      <c r="Y10" s="3" t="n"/>
      <c r="Z10" s="25">
        <f>IF(D10="","",VALUE(MID(TEXT(D10,"0000"),3,1)))</f>
        <v/>
      </c>
      <c r="AA10" s="25">
        <f>IF(E10="","",VALUE(MID(TEXT(E10,"0000"),3,1)))</f>
        <v/>
      </c>
      <c r="AB10" s="25">
        <f>IF(F10="","",VALUE(MID(TEXT(F10,"0000"),3,1)))</f>
        <v/>
      </c>
      <c r="AC10" s="31">
        <f>IF(D10="","",IF(COUNTIF(Z10:AB10,"&gt;=5")=3,"🔴 全大",IF(COUNTIF(Z10:AB10,"&gt;=5")=0,"🔵 全小",IF(COUNTIF(Z10:AB10,"&gt;=5")=2,"▲ 偏大","▼ 偏小"))))</f>
        <v/>
      </c>
      <c r="AD10" s="31">
        <f>IF(D10="","",IF((MOD(Z10,2)=1)+(MOD(AA10,2)=1)+(MOD(AB10,2)=1)=3,"⚫ 全单",IF((MOD(Z10,2)=1)+(MOD(AA10,2)=1)+(MOD(AB10,2)=1)=0,"🟣 全双",IF((MOD(Z10,2)=1)+(MOD(AA10,2)=1)+(MOD(AB10,2)=1)=2,"◑ 偏单","◑ 偏双"))))</f>
        <v/>
      </c>
      <c r="AE10" s="34">
        <f>IF(D10="","",IF(D9="",1,IF(ISNUMBER(SEARCH("大",AC10))=ISNUMBER(SEARCH("大",AC9)),AE9+1,1)))</f>
        <v/>
      </c>
      <c r="AF10" s="31">
        <f>IF(AE10="","",IF(AE10&gt;=4,"🚨 "&amp;AE10&amp;"期·警惕反转",IF(AE10=3,"⚠️ 3期连续","—")))</f>
        <v/>
      </c>
      <c r="AG10" s="22">
        <f>IF(AC10="","—",IF(ISNUMBER(SEARCH("大",AC10)),IF(OR(AC10="🔴 全大"),IF(AE10&gt;=4,"xx大x 强·⚠️反转?",IF(AE10=3,"xx大x 强·连3期","xx大x ✅强用")),"xx大x △弱参考"),IF(OR(AC10="🔵 全小"),IF(AE10&gt;=4,"xx小x 强·⚠️反转?",IF(AE10=3,"xx小x 强·连3期","xx小x ✅强用")),"xx小x △弱参考")))</f>
        <v/>
      </c>
      <c r="AH10" s="3" t="n"/>
      <c r="AI10" s="27">
        <f>IF(D10="","",VALUE(MID(TEXT(D10,"0000"),4,1)))</f>
        <v/>
      </c>
      <c r="AJ10" s="27">
        <f>IF(E10="","",VALUE(MID(TEXT(E10,"0000"),4,1)))</f>
        <v/>
      </c>
      <c r="AK10" s="27">
        <f>IF(F10="","",VALUE(MID(TEXT(F10,"0000"),4,1)))</f>
        <v/>
      </c>
      <c r="AL10" s="31">
        <f>IF(D10="","",IF(COUNTIF(AI10:AK10,"&gt;=5")=3,"🔴 全大",IF(COUNTIF(AI10:AK10,"&gt;=5")=0,"🔵 全小",IF(COUNTIF(AI10:AK10,"&gt;=5")=2,"▲ 偏大","▼ 偏小"))))</f>
        <v/>
      </c>
      <c r="AM10" s="31">
        <f>IF(D10="","",IF((MOD(AI10,2)=1)+(MOD(AJ10,2)=1)+(MOD(AK10,2)=1)=3,"⚫ 全单",IF((MOD(AI10,2)=1)+(MOD(AJ10,2)=1)+(MOD(AK10,2)=1)=0,"🟣 全双",IF((MOD(AI10,2)=1)+(MOD(AJ10,2)=1)+(MOD(AK10,2)=1)=2,"◑ 偏单","◑ 偏双"))))</f>
        <v/>
      </c>
      <c r="AN10" s="35">
        <f>IF(D10="","",IF(D9="",1,IF(ISNUMBER(SEARCH("大",AL10))=ISNUMBER(SEARCH("大",AL9)),AN9+1,1)))</f>
        <v/>
      </c>
      <c r="AO10" s="31">
        <f>IF(AN10="","",IF(AN10&gt;=4,"🚨 "&amp;AN10&amp;"期·警惕反转",IF(AN10=3,"⚠️ 3期连续","—")))</f>
        <v/>
      </c>
      <c r="AP10" s="22">
        <f>IF(AL10="","—",IF(ISNUMBER(SEARCH("大",AL10)),IF(OR(AL10="🔴 全大"),IF(AN10&gt;=4,"xxx大 强·⚠️反转?",IF(AN10=3,"xxx大 强·连3期","xxx大 ✅强用")),"xxx大 △弱参考"),IF(OR(AL10="🔵 全小"),IF(AN10&gt;=4,"xxx小 强·⚠️反转?",IF(AN10=3,"xxx小 强·连3期","xxx小 ✅强用")),"xxx小 △弱参考")))</f>
        <v/>
      </c>
      <c r="AQ10" s="3" t="n"/>
      <c r="AR10" s="31">
        <f>IF(OR(D10="",D9=""),"—",IF(K9="","—",IF(ISNUMBER(SEARCH("大",K9)),IF(COUNTIF(H10:J10,"&gt;=5")&gt;=2,"✅","❌"),IF(COUNTIF(H10:J10,"&gt;=5")&lt;=1,"✅","❌"))))</f>
        <v/>
      </c>
      <c r="AS10" s="31">
        <f>IF(OR(D10="",D9=""),"—",IF(T9="","—",IF(ISNUMBER(SEARCH("大",T9)),IF(COUNTIF(Q10:S10,"&gt;=5")&gt;=2,"✅","❌"),IF(COUNTIF(Q10:S10,"&gt;=5")&lt;=1,"✅","❌"))))</f>
        <v/>
      </c>
      <c r="AT10" s="31">
        <f>IF(OR(D10="",D9=""),"—",IF(AC9="","—",IF(ISNUMBER(SEARCH("大",AC9)),IF(COUNTIF(Z10:AB10,"&gt;=5")&gt;=2,"✅","❌"),IF(COUNTIF(Z10:AB10,"&gt;=5")&lt;=1,"✅","❌"))))</f>
        <v/>
      </c>
      <c r="AU10" s="31">
        <f>IF(OR(D10="",D9=""),"—",IF(AL9="","—",IF(ISNUMBER(SEARCH("大",AL9)),IF(COUNTIF(AI10:AK10,"&gt;=5")&gt;=2,"✅","❌"),IF(COUNTIF(AI10:AK10,"&gt;=5")&lt;=1,"✅","❌"))))</f>
        <v/>
      </c>
      <c r="AW10" s="36" t="n"/>
    </row>
    <row r="11" ht="18" customHeight="1">
      <c r="A11" s="16" t="n">
        <v>7</v>
      </c>
      <c r="B11" s="17" t="inlineStr">
        <is>
          <t>2026-05-16</t>
        </is>
      </c>
      <c r="C11" s="18" t="inlineStr">
        <is>
          <t>万能</t>
        </is>
      </c>
      <c r="D11" s="17" t="inlineStr">
        <is>
          <t>2112</t>
        </is>
      </c>
      <c r="E11" s="17" t="inlineStr">
        <is>
          <t>5193</t>
        </is>
      </c>
      <c r="F11" s="17" t="inlineStr">
        <is>
          <t>2950</t>
        </is>
      </c>
      <c r="G11" s="3" t="n"/>
      <c r="H11" s="19">
        <f>IF(D11="","",VALUE(MID(TEXT(D11,"0000"),1,1)))</f>
        <v/>
      </c>
      <c r="I11" s="19">
        <f>IF(E11="","",VALUE(MID(TEXT(E11,"0000"),1,1)))</f>
        <v/>
      </c>
      <c r="J11" s="19">
        <f>IF(F11="","",VALUE(MID(TEXT(F11,"0000"),1,1)))</f>
        <v/>
      </c>
      <c r="K11" s="20">
        <f>IF(D11="","",IF(COUNTIF(H11:J11,"&gt;=5")=3,"🔴 全大",IF(COUNTIF(H11:J11,"&gt;=5")=0,"🔵 全小",IF(COUNTIF(H11:J11,"&gt;=5")=2,"▲ 偏大","▼ 偏小"))))</f>
        <v/>
      </c>
      <c r="L11" s="20">
        <f>IF(D11="","",IF((MOD(H11,2)=1)+(MOD(I11,2)=1)+(MOD(J11,2)=1)=3,"⚫ 全单",IF((MOD(H11,2)=1)+(MOD(I11,2)=1)+(MOD(J11,2)=1)=0,"🟣 全双",IF((MOD(H11,2)=1)+(MOD(I11,2)=1)+(MOD(J11,2)=1)=2,"◑ 偏单","◑ 偏双"))))</f>
        <v/>
      </c>
      <c r="M11" s="21">
        <f>IF(D11="","",IF(D10="",1,IF(ISNUMBER(SEARCH("大",K11))=ISNUMBER(SEARCH("大",K10)),M10+1,1)))</f>
        <v/>
      </c>
      <c r="N11" s="20">
        <f>IF(M11="","",IF(M11&gt;=4,"🚨 "&amp;M11&amp;"期·警惕反转",IF(M11=3,"⚠️ 3期连续","—")))</f>
        <v/>
      </c>
      <c r="O11" s="22">
        <f>IF(K11="","—",IF(ISNUMBER(SEARCH("大",K11)),IF(OR(K11="🔴 全大"),IF(M11&gt;=4,"大xxx 强·⚠️反转?",IF(M11=3,"大xxx 强·连3期","大xxx ✅强用")),"大xxx △弱参考"),IF(OR(K11="🔵 全小"),IF(M11&gt;=4,"小xxx 强·⚠️反转?",IF(M11=3,"小xxx 强·连3期","小xxx ✅强用")),"小xxx △弱参考")))</f>
        <v/>
      </c>
      <c r="P11" s="3" t="n"/>
      <c r="Q11" s="23">
        <f>IF(D11="","",VALUE(MID(TEXT(D11,"0000"),2,1)))</f>
        <v/>
      </c>
      <c r="R11" s="23">
        <f>IF(E11="","",VALUE(MID(TEXT(E11,"0000"),2,1)))</f>
        <v/>
      </c>
      <c r="S11" s="23">
        <f>IF(F11="","",VALUE(MID(TEXT(F11,"0000"),2,1)))</f>
        <v/>
      </c>
      <c r="T11" s="20">
        <f>IF(D11="","",IF(COUNTIF(Q11:S11,"&gt;=5")=3,"🔴 全大",IF(COUNTIF(Q11:S11,"&gt;=5")=0,"🔵 全小",IF(COUNTIF(Q11:S11,"&gt;=5")=2,"▲ 偏大","▼ 偏小"))))</f>
        <v/>
      </c>
      <c r="U11" s="20">
        <f>IF(D11="","",IF((MOD(Q11,2)=1)+(MOD(R11,2)=1)+(MOD(S11,2)=1)=3,"⚫ 全单",IF((MOD(Q11,2)=1)+(MOD(R11,2)=1)+(MOD(S11,2)=1)=0,"🟣 全双",IF((MOD(Q11,2)=1)+(MOD(R11,2)=1)+(MOD(S11,2)=1)=2,"◑ 偏单","◑ 偏双"))))</f>
        <v/>
      </c>
      <c r="V11" s="24">
        <f>IF(D11="","",IF(D10="",1,IF(ISNUMBER(SEARCH("大",T11))=ISNUMBER(SEARCH("大",T10)),V10+1,1)))</f>
        <v/>
      </c>
      <c r="W11" s="20">
        <f>IF(V11="","",IF(V11&gt;=4,"🚨 "&amp;V11&amp;"期·警惕反转",IF(V11=3,"⚠️ 3期连续","—")))</f>
        <v/>
      </c>
      <c r="X11" s="22">
        <f>IF(T11="","—",IF(ISNUMBER(SEARCH("大",T11)),IF(OR(T11="🔴 全大"),IF(V11&gt;=4,"x大xx 强·⚠️反转?",IF(V11=3,"x大xx 强·连3期","x大xx ✅强用")),"x大xx △弱参考"),IF(OR(T11="🔵 全小"),IF(V11&gt;=4,"x小xx 强·⚠️反转?",IF(V11=3,"x小xx 强·连3期","x小xx ✅强用")),"x小xx △弱参考")))</f>
        <v/>
      </c>
      <c r="Y11" s="3" t="n"/>
      <c r="Z11" s="25">
        <f>IF(D11="","",VALUE(MID(TEXT(D11,"0000"),3,1)))</f>
        <v/>
      </c>
      <c r="AA11" s="25">
        <f>IF(E11="","",VALUE(MID(TEXT(E11,"0000"),3,1)))</f>
        <v/>
      </c>
      <c r="AB11" s="25">
        <f>IF(F11="","",VALUE(MID(TEXT(F11,"0000"),3,1)))</f>
        <v/>
      </c>
      <c r="AC11" s="20">
        <f>IF(D11="","",IF(COUNTIF(Z11:AB11,"&gt;=5")=3,"🔴 全大",IF(COUNTIF(Z11:AB11,"&gt;=5")=0,"🔵 全小",IF(COUNTIF(Z11:AB11,"&gt;=5")=2,"▲ 偏大","▼ 偏小"))))</f>
        <v/>
      </c>
      <c r="AD11" s="20">
        <f>IF(D11="","",IF((MOD(Z11,2)=1)+(MOD(AA11,2)=1)+(MOD(AB11,2)=1)=3,"⚫ 全单",IF((MOD(Z11,2)=1)+(MOD(AA11,2)=1)+(MOD(AB11,2)=1)=0,"🟣 全双",IF((MOD(Z11,2)=1)+(MOD(AA11,2)=1)+(MOD(AB11,2)=1)=2,"◑ 偏单","◑ 偏双"))))</f>
        <v/>
      </c>
      <c r="AE11" s="26">
        <f>IF(D11="","",IF(D10="",1,IF(ISNUMBER(SEARCH("大",AC11))=ISNUMBER(SEARCH("大",AC10)),AE10+1,1)))</f>
        <v/>
      </c>
      <c r="AF11" s="20">
        <f>IF(AE11="","",IF(AE11&gt;=4,"🚨 "&amp;AE11&amp;"期·警惕反转",IF(AE11=3,"⚠️ 3期连续","—")))</f>
        <v/>
      </c>
      <c r="AG11" s="22">
        <f>IF(AC11="","—",IF(ISNUMBER(SEARCH("大",AC11)),IF(OR(AC11="🔴 全大"),IF(AE11&gt;=4,"xx大x 强·⚠️反转?",IF(AE11=3,"xx大x 强·连3期","xx大x ✅强用")),"xx大x △弱参考"),IF(OR(AC11="🔵 全小"),IF(AE11&gt;=4,"xx小x 强·⚠️反转?",IF(AE11=3,"xx小x 强·连3期","xx小x ✅强用")),"xx小x △弱参考")))</f>
        <v/>
      </c>
      <c r="AH11" s="3" t="n"/>
      <c r="AI11" s="27">
        <f>IF(D11="","",VALUE(MID(TEXT(D11,"0000"),4,1)))</f>
        <v/>
      </c>
      <c r="AJ11" s="27">
        <f>IF(E11="","",VALUE(MID(TEXT(E11,"0000"),4,1)))</f>
        <v/>
      </c>
      <c r="AK11" s="27">
        <f>IF(F11="","",VALUE(MID(TEXT(F11,"0000"),4,1)))</f>
        <v/>
      </c>
      <c r="AL11" s="20">
        <f>IF(D11="","",IF(COUNTIF(AI11:AK11,"&gt;=5")=3,"🔴 全大",IF(COUNTIF(AI11:AK11,"&gt;=5")=0,"🔵 全小",IF(COUNTIF(AI11:AK11,"&gt;=5")=2,"▲ 偏大","▼ 偏小"))))</f>
        <v/>
      </c>
      <c r="AM11" s="20">
        <f>IF(D11="","",IF((MOD(AI11,2)=1)+(MOD(AJ11,2)=1)+(MOD(AK11,2)=1)=3,"⚫ 全单",IF((MOD(AI11,2)=1)+(MOD(AJ11,2)=1)+(MOD(AK11,2)=1)=0,"🟣 全双",IF((MOD(AI11,2)=1)+(MOD(AJ11,2)=1)+(MOD(AK11,2)=1)=2,"◑ 偏单","◑ 偏双"))))</f>
        <v/>
      </c>
      <c r="AN11" s="28">
        <f>IF(D11="","",IF(D10="",1,IF(ISNUMBER(SEARCH("大",AL11))=ISNUMBER(SEARCH("大",AL10)),AN10+1,1)))</f>
        <v/>
      </c>
      <c r="AO11" s="20">
        <f>IF(AN11="","",IF(AN11&gt;=4,"🚨 "&amp;AN11&amp;"期·警惕反转",IF(AN11=3,"⚠️ 3期连续","—")))</f>
        <v/>
      </c>
      <c r="AP11" s="22">
        <f>IF(AL11="","—",IF(ISNUMBER(SEARCH("大",AL11)),IF(OR(AL11="🔴 全大"),IF(AN11&gt;=4,"xxx大 强·⚠️反转?",IF(AN11=3,"xxx大 强·连3期","xxx大 ✅强用")),"xxx大 △弱参考"),IF(OR(AL11="🔵 全小"),IF(AN11&gt;=4,"xxx小 强·⚠️反转?",IF(AN11=3,"xxx小 强·连3期","xxx小 ✅强用")),"xxx小 △弱参考")))</f>
        <v/>
      </c>
      <c r="AQ11" s="3" t="n"/>
      <c r="AR11" s="20">
        <f>IF(OR(D11="",D10=""),"—",IF(K10="","—",IF(ISNUMBER(SEARCH("大",K10)),IF(COUNTIF(H11:J11,"&gt;=5")&gt;=2,"✅","❌"),IF(COUNTIF(H11:J11,"&gt;=5")&lt;=1,"✅","❌"))))</f>
        <v/>
      </c>
      <c r="AS11" s="20">
        <f>IF(OR(D11="",D10=""),"—",IF(T10="","—",IF(ISNUMBER(SEARCH("大",T10)),IF(COUNTIF(Q11:S11,"&gt;=5")&gt;=2,"✅","❌"),IF(COUNTIF(Q11:S11,"&gt;=5")&lt;=1,"✅","❌"))))</f>
        <v/>
      </c>
      <c r="AT11" s="20">
        <f>IF(OR(D11="",D10=""),"—",IF(AC10="","—",IF(ISNUMBER(SEARCH("大",AC10)),IF(COUNTIF(Z11:AB11,"&gt;=5")&gt;=2,"✅","❌"),IF(COUNTIF(Z11:AB11,"&gt;=5")&lt;=1,"✅","❌"))))</f>
        <v/>
      </c>
      <c r="AU11" s="20">
        <f>IF(OR(D11="",D10=""),"—",IF(AL10="","—",IF(ISNUMBER(SEARCH("大",AL10)),IF(COUNTIF(AI11:AK11,"&gt;=5")&gt;=2,"✅","❌"),IF(COUNTIF(AI11:AK11,"&gt;=5")&lt;=1,"✅","❌"))))</f>
        <v/>
      </c>
      <c r="AW11" s="30" t="n"/>
    </row>
    <row r="12" ht="18" customHeight="1">
      <c r="A12" s="16" t="n">
        <v>8</v>
      </c>
      <c r="B12" s="17" t="inlineStr">
        <is>
          <t>2026-05-17</t>
        </is>
      </c>
      <c r="C12" s="18" t="inlineStr">
        <is>
          <t>万能</t>
        </is>
      </c>
      <c r="D12" s="17" t="inlineStr">
        <is>
          <t>4143</t>
        </is>
      </c>
      <c r="E12" s="17" t="inlineStr">
        <is>
          <t>3012</t>
        </is>
      </c>
      <c r="F12" s="17" t="inlineStr">
        <is>
          <t>0034</t>
        </is>
      </c>
      <c r="G12" s="3" t="n"/>
      <c r="H12" s="19">
        <f>IF(D12="","",VALUE(MID(TEXT(D12,"0000"),1,1)))</f>
        <v/>
      </c>
      <c r="I12" s="19">
        <f>IF(E12="","",VALUE(MID(TEXT(E12,"0000"),1,1)))</f>
        <v/>
      </c>
      <c r="J12" s="19">
        <f>IF(F12="","",VALUE(MID(TEXT(F12,"0000"),1,1)))</f>
        <v/>
      </c>
      <c r="K12" s="31">
        <f>IF(D12="","",IF(COUNTIF(H12:J12,"&gt;=5")=3,"🔴 全大",IF(COUNTIF(H12:J12,"&gt;=5")=0,"🔵 全小",IF(COUNTIF(H12:J12,"&gt;=5")=2,"▲ 偏大","▼ 偏小"))))</f>
        <v/>
      </c>
      <c r="L12" s="31">
        <f>IF(D12="","",IF((MOD(H12,2)=1)+(MOD(I12,2)=1)+(MOD(J12,2)=1)=3,"⚫ 全单",IF((MOD(H12,2)=1)+(MOD(I12,2)=1)+(MOD(J12,2)=1)=0,"🟣 全双",IF((MOD(H12,2)=1)+(MOD(I12,2)=1)+(MOD(J12,2)=1)=2,"◑ 偏单","◑ 偏双"))))</f>
        <v/>
      </c>
      <c r="M12" s="32">
        <f>IF(D12="","",IF(D11="",1,IF(ISNUMBER(SEARCH("大",K12))=ISNUMBER(SEARCH("大",K11)),M11+1,1)))</f>
        <v/>
      </c>
      <c r="N12" s="31">
        <f>IF(M12="","",IF(M12&gt;=4,"🚨 "&amp;M12&amp;"期·警惕反转",IF(M12=3,"⚠️ 3期连续","—")))</f>
        <v/>
      </c>
      <c r="O12" s="22">
        <f>IF(K12="","—",IF(ISNUMBER(SEARCH("大",K12)),IF(OR(K12="🔴 全大"),IF(M12&gt;=4,"大xxx 强·⚠️反转?",IF(M12=3,"大xxx 强·连3期","大xxx ✅强用")),"大xxx △弱参考"),IF(OR(K12="🔵 全小"),IF(M12&gt;=4,"小xxx 强·⚠️反转?",IF(M12=3,"小xxx 强·连3期","小xxx ✅强用")),"小xxx △弱参考")))</f>
        <v/>
      </c>
      <c r="P12" s="3" t="n"/>
      <c r="Q12" s="23">
        <f>IF(D12="","",VALUE(MID(TEXT(D12,"0000"),2,1)))</f>
        <v/>
      </c>
      <c r="R12" s="23">
        <f>IF(E12="","",VALUE(MID(TEXT(E12,"0000"),2,1)))</f>
        <v/>
      </c>
      <c r="S12" s="23">
        <f>IF(F12="","",VALUE(MID(TEXT(F12,"0000"),2,1)))</f>
        <v/>
      </c>
      <c r="T12" s="31">
        <f>IF(D12="","",IF(COUNTIF(Q12:S12,"&gt;=5")=3,"🔴 全大",IF(COUNTIF(Q12:S12,"&gt;=5")=0,"🔵 全小",IF(COUNTIF(Q12:S12,"&gt;=5")=2,"▲ 偏大","▼ 偏小"))))</f>
        <v/>
      </c>
      <c r="U12" s="31">
        <f>IF(D12="","",IF((MOD(Q12,2)=1)+(MOD(R12,2)=1)+(MOD(S12,2)=1)=3,"⚫ 全单",IF((MOD(Q12,2)=1)+(MOD(R12,2)=1)+(MOD(S12,2)=1)=0,"🟣 全双",IF((MOD(Q12,2)=1)+(MOD(R12,2)=1)+(MOD(S12,2)=1)=2,"◑ 偏单","◑ 偏双"))))</f>
        <v/>
      </c>
      <c r="V12" s="33">
        <f>IF(D12="","",IF(D11="",1,IF(ISNUMBER(SEARCH("大",T12))=ISNUMBER(SEARCH("大",T11)),V11+1,1)))</f>
        <v/>
      </c>
      <c r="W12" s="31">
        <f>IF(V12="","",IF(V12&gt;=4,"🚨 "&amp;V12&amp;"期·警惕反转",IF(V12=3,"⚠️ 3期连续","—")))</f>
        <v/>
      </c>
      <c r="X12" s="22">
        <f>IF(T12="","—",IF(ISNUMBER(SEARCH("大",T12)),IF(OR(T12="🔴 全大"),IF(V12&gt;=4,"x大xx 强·⚠️反转?",IF(V12=3,"x大xx 强·连3期","x大xx ✅强用")),"x大xx △弱参考"),IF(OR(T12="🔵 全小"),IF(V12&gt;=4,"x小xx 强·⚠️反转?",IF(V12=3,"x小xx 强·连3期","x小xx ✅强用")),"x小xx △弱参考")))</f>
        <v/>
      </c>
      <c r="Y12" s="3" t="n"/>
      <c r="Z12" s="25">
        <f>IF(D12="","",VALUE(MID(TEXT(D12,"0000"),3,1)))</f>
        <v/>
      </c>
      <c r="AA12" s="25">
        <f>IF(E12="","",VALUE(MID(TEXT(E12,"0000"),3,1)))</f>
        <v/>
      </c>
      <c r="AB12" s="25">
        <f>IF(F12="","",VALUE(MID(TEXT(F12,"0000"),3,1)))</f>
        <v/>
      </c>
      <c r="AC12" s="31">
        <f>IF(D12="","",IF(COUNTIF(Z12:AB12,"&gt;=5")=3,"🔴 全大",IF(COUNTIF(Z12:AB12,"&gt;=5")=0,"🔵 全小",IF(COUNTIF(Z12:AB12,"&gt;=5")=2,"▲ 偏大","▼ 偏小"))))</f>
        <v/>
      </c>
      <c r="AD12" s="31">
        <f>IF(D12="","",IF((MOD(Z12,2)=1)+(MOD(AA12,2)=1)+(MOD(AB12,2)=1)=3,"⚫ 全单",IF((MOD(Z12,2)=1)+(MOD(AA12,2)=1)+(MOD(AB12,2)=1)=0,"🟣 全双",IF((MOD(Z12,2)=1)+(MOD(AA12,2)=1)+(MOD(AB12,2)=1)=2,"◑ 偏单","◑ 偏双"))))</f>
        <v/>
      </c>
      <c r="AE12" s="34">
        <f>IF(D12="","",IF(D11="",1,IF(ISNUMBER(SEARCH("大",AC12))=ISNUMBER(SEARCH("大",AC11)),AE11+1,1)))</f>
        <v/>
      </c>
      <c r="AF12" s="31">
        <f>IF(AE12="","",IF(AE12&gt;=4,"🚨 "&amp;AE12&amp;"期·警惕反转",IF(AE12=3,"⚠️ 3期连续","—")))</f>
        <v/>
      </c>
      <c r="AG12" s="22">
        <f>IF(AC12="","—",IF(ISNUMBER(SEARCH("大",AC12)),IF(OR(AC12="🔴 全大"),IF(AE12&gt;=4,"xx大x 强·⚠️反转?",IF(AE12=3,"xx大x 强·连3期","xx大x ✅强用")),"xx大x △弱参考"),IF(OR(AC12="🔵 全小"),IF(AE12&gt;=4,"xx小x 强·⚠️反转?",IF(AE12=3,"xx小x 强·连3期","xx小x ✅强用")),"xx小x △弱参考")))</f>
        <v/>
      </c>
      <c r="AH12" s="3" t="n"/>
      <c r="AI12" s="27">
        <f>IF(D12="","",VALUE(MID(TEXT(D12,"0000"),4,1)))</f>
        <v/>
      </c>
      <c r="AJ12" s="27">
        <f>IF(E12="","",VALUE(MID(TEXT(E12,"0000"),4,1)))</f>
        <v/>
      </c>
      <c r="AK12" s="27">
        <f>IF(F12="","",VALUE(MID(TEXT(F12,"0000"),4,1)))</f>
        <v/>
      </c>
      <c r="AL12" s="31">
        <f>IF(D12="","",IF(COUNTIF(AI12:AK12,"&gt;=5")=3,"🔴 全大",IF(COUNTIF(AI12:AK12,"&gt;=5")=0,"🔵 全小",IF(COUNTIF(AI12:AK12,"&gt;=5")=2,"▲ 偏大","▼ 偏小"))))</f>
        <v/>
      </c>
      <c r="AM12" s="31">
        <f>IF(D12="","",IF((MOD(AI12,2)=1)+(MOD(AJ12,2)=1)+(MOD(AK12,2)=1)=3,"⚫ 全单",IF((MOD(AI12,2)=1)+(MOD(AJ12,2)=1)+(MOD(AK12,2)=1)=0,"🟣 全双",IF((MOD(AI12,2)=1)+(MOD(AJ12,2)=1)+(MOD(AK12,2)=1)=2,"◑ 偏单","◑ 偏双"))))</f>
        <v/>
      </c>
      <c r="AN12" s="35">
        <f>IF(D12="","",IF(D11="",1,IF(ISNUMBER(SEARCH("大",AL12))=ISNUMBER(SEARCH("大",AL11)),AN11+1,1)))</f>
        <v/>
      </c>
      <c r="AO12" s="31">
        <f>IF(AN12="","",IF(AN12&gt;=4,"🚨 "&amp;AN12&amp;"期·警惕反转",IF(AN12=3,"⚠️ 3期连续","—")))</f>
        <v/>
      </c>
      <c r="AP12" s="22">
        <f>IF(AL12="","—",IF(ISNUMBER(SEARCH("大",AL12)),IF(OR(AL12="🔴 全大"),IF(AN12&gt;=4,"xxx大 强·⚠️反转?",IF(AN12=3,"xxx大 强·连3期","xxx大 ✅强用")),"xxx大 △弱参考"),IF(OR(AL12="🔵 全小"),IF(AN12&gt;=4,"xxx小 强·⚠️反转?",IF(AN12=3,"xxx小 强·连3期","xxx小 ✅强用")),"xxx小 △弱参考")))</f>
        <v/>
      </c>
      <c r="AQ12" s="3" t="n"/>
      <c r="AR12" s="31">
        <f>IF(OR(D12="",D11=""),"—",IF(K11="","—",IF(ISNUMBER(SEARCH("大",K11)),IF(COUNTIF(H12:J12,"&gt;=5")&gt;=2,"✅","❌"),IF(COUNTIF(H12:J12,"&gt;=5")&lt;=1,"✅","❌"))))</f>
        <v/>
      </c>
      <c r="AS12" s="31">
        <f>IF(OR(D12="",D11=""),"—",IF(T11="","—",IF(ISNUMBER(SEARCH("大",T11)),IF(COUNTIF(Q12:S12,"&gt;=5")&gt;=2,"✅","❌"),IF(COUNTIF(Q12:S12,"&gt;=5")&lt;=1,"✅","❌"))))</f>
        <v/>
      </c>
      <c r="AT12" s="31">
        <f>IF(OR(D12="",D11=""),"—",IF(AC11="","—",IF(ISNUMBER(SEARCH("大",AC11)),IF(COUNTIF(Z12:AB12,"&gt;=5")&gt;=2,"✅","❌"),IF(COUNTIF(Z12:AB12,"&gt;=5")&lt;=1,"✅","❌"))))</f>
        <v/>
      </c>
      <c r="AU12" s="31">
        <f>IF(OR(D12="",D11=""),"—",IF(AL11="","—",IF(ISNUMBER(SEARCH("大",AL11)),IF(COUNTIF(AI12:AK12,"&gt;=5")&gt;=2,"✅","❌"),IF(COUNTIF(AI12:AK12,"&gt;=5")&lt;=1,"✅","❌"))))</f>
        <v/>
      </c>
      <c r="AW12" s="36" t="n"/>
    </row>
    <row r="13" ht="18" customHeight="1">
      <c r="A13" s="16" t="n">
        <v>9</v>
      </c>
      <c r="B13" s="17" t="inlineStr">
        <is>
          <t>2026-05-20</t>
        </is>
      </c>
      <c r="C13" s="18" t="inlineStr">
        <is>
          <t>万能</t>
        </is>
      </c>
      <c r="D13" s="17" t="inlineStr">
        <is>
          <t>9351</t>
        </is>
      </c>
      <c r="E13" s="17" t="inlineStr">
        <is>
          <t>2679</t>
        </is>
      </c>
      <c r="F13" s="17" t="inlineStr">
        <is>
          <t>2099</t>
        </is>
      </c>
      <c r="G13" s="3" t="n"/>
      <c r="H13" s="19">
        <f>IF(D13="","",VALUE(MID(TEXT(D13,"0000"),1,1)))</f>
        <v/>
      </c>
      <c r="I13" s="19">
        <f>IF(E13="","",VALUE(MID(TEXT(E13,"0000"),1,1)))</f>
        <v/>
      </c>
      <c r="J13" s="19">
        <f>IF(F13="","",VALUE(MID(TEXT(F13,"0000"),1,1)))</f>
        <v/>
      </c>
      <c r="K13" s="20">
        <f>IF(D13="","",IF(COUNTIF(H13:J13,"&gt;=5")=3,"🔴 全大",IF(COUNTIF(H13:J13,"&gt;=5")=0,"🔵 全小",IF(COUNTIF(H13:J13,"&gt;=5")=2,"▲ 偏大","▼ 偏小"))))</f>
        <v/>
      </c>
      <c r="L13" s="20">
        <f>IF(D13="","",IF((MOD(H13,2)=1)+(MOD(I13,2)=1)+(MOD(J13,2)=1)=3,"⚫ 全单",IF((MOD(H13,2)=1)+(MOD(I13,2)=1)+(MOD(J13,2)=1)=0,"🟣 全双",IF((MOD(H13,2)=1)+(MOD(I13,2)=1)+(MOD(J13,2)=1)=2,"◑ 偏单","◑ 偏双"))))</f>
        <v/>
      </c>
      <c r="M13" s="21">
        <f>IF(D13="","",IF(D12="",1,IF(ISNUMBER(SEARCH("大",K13))=ISNUMBER(SEARCH("大",K12)),M12+1,1)))</f>
        <v/>
      </c>
      <c r="N13" s="20">
        <f>IF(M13="","",IF(M13&gt;=4,"🚨 "&amp;M13&amp;"期·警惕反转",IF(M13=3,"⚠️ 3期连续","—")))</f>
        <v/>
      </c>
      <c r="O13" s="22">
        <f>IF(K13="","—",IF(ISNUMBER(SEARCH("大",K13)),IF(OR(K13="🔴 全大"),IF(M13&gt;=4,"大xxx 强·⚠️反转?",IF(M13=3,"大xxx 强·连3期","大xxx ✅强用")),"大xxx △弱参考"),IF(OR(K13="🔵 全小"),IF(M13&gt;=4,"小xxx 强·⚠️反转?",IF(M13=3,"小xxx 强·连3期","小xxx ✅强用")),"小xxx △弱参考")))</f>
        <v/>
      </c>
      <c r="P13" s="3" t="n"/>
      <c r="Q13" s="23">
        <f>IF(D13="","",VALUE(MID(TEXT(D13,"0000"),2,1)))</f>
        <v/>
      </c>
      <c r="R13" s="23">
        <f>IF(E13="","",VALUE(MID(TEXT(E13,"0000"),2,1)))</f>
        <v/>
      </c>
      <c r="S13" s="23">
        <f>IF(F13="","",VALUE(MID(TEXT(F13,"0000"),2,1)))</f>
        <v/>
      </c>
      <c r="T13" s="20">
        <f>IF(D13="","",IF(COUNTIF(Q13:S13,"&gt;=5")=3,"🔴 全大",IF(COUNTIF(Q13:S13,"&gt;=5")=0,"🔵 全小",IF(COUNTIF(Q13:S13,"&gt;=5")=2,"▲ 偏大","▼ 偏小"))))</f>
        <v/>
      </c>
      <c r="U13" s="20">
        <f>IF(D13="","",IF((MOD(Q13,2)=1)+(MOD(R13,2)=1)+(MOD(S13,2)=1)=3,"⚫ 全单",IF((MOD(Q13,2)=1)+(MOD(R13,2)=1)+(MOD(S13,2)=1)=0,"🟣 全双",IF((MOD(Q13,2)=1)+(MOD(R13,2)=1)+(MOD(S13,2)=1)=2,"◑ 偏单","◑ 偏双"))))</f>
        <v/>
      </c>
      <c r="V13" s="24">
        <f>IF(D13="","",IF(D12="",1,IF(ISNUMBER(SEARCH("大",T13))=ISNUMBER(SEARCH("大",T12)),V12+1,1)))</f>
        <v/>
      </c>
      <c r="W13" s="20">
        <f>IF(V13="","",IF(V13&gt;=4,"🚨 "&amp;V13&amp;"期·警惕反转",IF(V13=3,"⚠️ 3期连续","—")))</f>
        <v/>
      </c>
      <c r="X13" s="22">
        <f>IF(T13="","—",IF(ISNUMBER(SEARCH("大",T13)),IF(OR(T13="🔴 全大"),IF(V13&gt;=4,"x大xx 强·⚠️反转?",IF(V13=3,"x大xx 强·连3期","x大xx ✅强用")),"x大xx △弱参考"),IF(OR(T13="🔵 全小"),IF(V13&gt;=4,"x小xx 强·⚠️反转?",IF(V13=3,"x小xx 强·连3期","x小xx ✅强用")),"x小xx △弱参考")))</f>
        <v/>
      </c>
      <c r="Y13" s="3" t="n"/>
      <c r="Z13" s="25">
        <f>IF(D13="","",VALUE(MID(TEXT(D13,"0000"),3,1)))</f>
        <v/>
      </c>
      <c r="AA13" s="25">
        <f>IF(E13="","",VALUE(MID(TEXT(E13,"0000"),3,1)))</f>
        <v/>
      </c>
      <c r="AB13" s="25">
        <f>IF(F13="","",VALUE(MID(TEXT(F13,"0000"),3,1)))</f>
        <v/>
      </c>
      <c r="AC13" s="20">
        <f>IF(D13="","",IF(COUNTIF(Z13:AB13,"&gt;=5")=3,"🔴 全大",IF(COUNTIF(Z13:AB13,"&gt;=5")=0,"🔵 全小",IF(COUNTIF(Z13:AB13,"&gt;=5")=2,"▲ 偏大","▼ 偏小"))))</f>
        <v/>
      </c>
      <c r="AD13" s="20">
        <f>IF(D13="","",IF((MOD(Z13,2)=1)+(MOD(AA13,2)=1)+(MOD(AB13,2)=1)=3,"⚫ 全单",IF((MOD(Z13,2)=1)+(MOD(AA13,2)=1)+(MOD(AB13,2)=1)=0,"🟣 全双",IF((MOD(Z13,2)=1)+(MOD(AA13,2)=1)+(MOD(AB13,2)=1)=2,"◑ 偏单","◑ 偏双"))))</f>
        <v/>
      </c>
      <c r="AE13" s="26">
        <f>IF(D13="","",IF(D12="",1,IF(ISNUMBER(SEARCH("大",AC13))=ISNUMBER(SEARCH("大",AC12)),AE12+1,1)))</f>
        <v/>
      </c>
      <c r="AF13" s="20">
        <f>IF(AE13="","",IF(AE13&gt;=4,"🚨 "&amp;AE13&amp;"期·警惕反转",IF(AE13=3,"⚠️ 3期连续","—")))</f>
        <v/>
      </c>
      <c r="AG13" s="22">
        <f>IF(AC13="","—",IF(ISNUMBER(SEARCH("大",AC13)),IF(OR(AC13="🔴 全大"),IF(AE13&gt;=4,"xx大x 强·⚠️反转?",IF(AE13=3,"xx大x 强·连3期","xx大x ✅强用")),"xx大x △弱参考"),IF(OR(AC13="🔵 全小"),IF(AE13&gt;=4,"xx小x 强·⚠️反转?",IF(AE13=3,"xx小x 强·连3期","xx小x ✅强用")),"xx小x △弱参考")))</f>
        <v/>
      </c>
      <c r="AH13" s="3" t="n"/>
      <c r="AI13" s="27">
        <f>IF(D13="","",VALUE(MID(TEXT(D13,"0000"),4,1)))</f>
        <v/>
      </c>
      <c r="AJ13" s="27">
        <f>IF(E13="","",VALUE(MID(TEXT(E13,"0000"),4,1)))</f>
        <v/>
      </c>
      <c r="AK13" s="27">
        <f>IF(F13="","",VALUE(MID(TEXT(F13,"0000"),4,1)))</f>
        <v/>
      </c>
      <c r="AL13" s="20">
        <f>IF(D13="","",IF(COUNTIF(AI13:AK13,"&gt;=5")=3,"🔴 全大",IF(COUNTIF(AI13:AK13,"&gt;=5")=0,"🔵 全小",IF(COUNTIF(AI13:AK13,"&gt;=5")=2,"▲ 偏大","▼ 偏小"))))</f>
        <v/>
      </c>
      <c r="AM13" s="20">
        <f>IF(D13="","",IF((MOD(AI13,2)=1)+(MOD(AJ13,2)=1)+(MOD(AK13,2)=1)=3,"⚫ 全单",IF((MOD(AI13,2)=1)+(MOD(AJ13,2)=1)+(MOD(AK13,2)=1)=0,"🟣 全双",IF((MOD(AI13,2)=1)+(MOD(AJ13,2)=1)+(MOD(AK13,2)=1)=2,"◑ 偏单","◑ 偏双"))))</f>
        <v/>
      </c>
      <c r="AN13" s="28">
        <f>IF(D13="","",IF(D12="",1,IF(ISNUMBER(SEARCH("大",AL13))=ISNUMBER(SEARCH("大",AL12)),AN12+1,1)))</f>
        <v/>
      </c>
      <c r="AO13" s="20">
        <f>IF(AN13="","",IF(AN13&gt;=4,"🚨 "&amp;AN13&amp;"期·警惕反转",IF(AN13=3,"⚠️ 3期连续","—")))</f>
        <v/>
      </c>
      <c r="AP13" s="22">
        <f>IF(AL13="","—",IF(ISNUMBER(SEARCH("大",AL13)),IF(OR(AL13="🔴 全大"),IF(AN13&gt;=4,"xxx大 强·⚠️反转?",IF(AN13=3,"xxx大 强·连3期","xxx大 ✅强用")),"xxx大 △弱参考"),IF(OR(AL13="🔵 全小"),IF(AN13&gt;=4,"xxx小 强·⚠️反转?",IF(AN13=3,"xxx小 强·连3期","xxx小 ✅强用")),"xxx小 △弱参考")))</f>
        <v/>
      </c>
      <c r="AQ13" s="3" t="n"/>
      <c r="AR13" s="20">
        <f>IF(OR(D13="",D12=""),"—",IF(K12="","—",IF(ISNUMBER(SEARCH("大",K12)),IF(COUNTIF(H13:J13,"&gt;=5")&gt;=2,"✅","❌"),IF(COUNTIF(H13:J13,"&gt;=5")&lt;=1,"✅","❌"))))</f>
        <v/>
      </c>
      <c r="AS13" s="20">
        <f>IF(OR(D13="",D12=""),"—",IF(T12="","—",IF(ISNUMBER(SEARCH("大",T12)),IF(COUNTIF(Q13:S13,"&gt;=5")&gt;=2,"✅","❌"),IF(COUNTIF(Q13:S13,"&gt;=5")&lt;=1,"✅","❌"))))</f>
        <v/>
      </c>
      <c r="AT13" s="20">
        <f>IF(OR(D13="",D12=""),"—",IF(AC12="","—",IF(ISNUMBER(SEARCH("大",AC12)),IF(COUNTIF(Z13:AB13,"&gt;=5")&gt;=2,"✅","❌"),IF(COUNTIF(Z13:AB13,"&gt;=5")&lt;=1,"✅","❌"))))</f>
        <v/>
      </c>
      <c r="AU13" s="20">
        <f>IF(OR(D13="",D12=""),"—",IF(AL12="","—",IF(ISNUMBER(SEARCH("大",AL12)),IF(COUNTIF(AI13:AK13,"&gt;=5")&gt;=2,"✅","❌"),IF(COUNTIF(AI13:AK13,"&gt;=5")&lt;=1,"✅","❌"))))</f>
        <v/>
      </c>
      <c r="AW13" s="30" t="n"/>
    </row>
    <row r="14" ht="18" customHeight="1">
      <c r="A14" s="16" t="n">
        <v>10</v>
      </c>
      <c r="B14" s="17" t="inlineStr">
        <is>
          <t>2026-05-23</t>
        </is>
      </c>
      <c r="C14" s="18" t="inlineStr">
        <is>
          <t>万能</t>
        </is>
      </c>
      <c r="D14" s="17" t="inlineStr">
        <is>
          <t>0848</t>
        </is>
      </c>
      <c r="E14" s="17" t="inlineStr">
        <is>
          <t>8166</t>
        </is>
      </c>
      <c r="F14" s="17" t="inlineStr">
        <is>
          <t>2833</t>
        </is>
      </c>
      <c r="G14" s="3" t="n"/>
      <c r="H14" s="19">
        <f>IF(D14="","",VALUE(MID(TEXT(D14,"0000"),1,1)))</f>
        <v/>
      </c>
      <c r="I14" s="19">
        <f>IF(E14="","",VALUE(MID(TEXT(E14,"0000"),1,1)))</f>
        <v/>
      </c>
      <c r="J14" s="19">
        <f>IF(F14="","",VALUE(MID(TEXT(F14,"0000"),1,1)))</f>
        <v/>
      </c>
      <c r="K14" s="31">
        <f>IF(D14="","",IF(COUNTIF(H14:J14,"&gt;=5")=3,"🔴 全大",IF(COUNTIF(H14:J14,"&gt;=5")=0,"🔵 全小",IF(COUNTIF(H14:J14,"&gt;=5")=2,"▲ 偏大","▼ 偏小"))))</f>
        <v/>
      </c>
      <c r="L14" s="31">
        <f>IF(D14="","",IF((MOD(H14,2)=1)+(MOD(I14,2)=1)+(MOD(J14,2)=1)=3,"⚫ 全单",IF((MOD(H14,2)=1)+(MOD(I14,2)=1)+(MOD(J14,2)=1)=0,"🟣 全双",IF((MOD(H14,2)=1)+(MOD(I14,2)=1)+(MOD(J14,2)=1)=2,"◑ 偏单","◑ 偏双"))))</f>
        <v/>
      </c>
      <c r="M14" s="32">
        <f>IF(D14="","",IF(D13="",1,IF(ISNUMBER(SEARCH("大",K14))=ISNUMBER(SEARCH("大",K13)),M13+1,1)))</f>
        <v/>
      </c>
      <c r="N14" s="31">
        <f>IF(M14="","",IF(M14&gt;=4,"🚨 "&amp;M14&amp;"期·警惕反转",IF(M14=3,"⚠️ 3期连续","—")))</f>
        <v/>
      </c>
      <c r="O14" s="22">
        <f>IF(K14="","—",IF(ISNUMBER(SEARCH("大",K14)),IF(OR(K14="🔴 全大"),IF(M14&gt;=4,"大xxx 强·⚠️反转?",IF(M14=3,"大xxx 强·连3期","大xxx ✅强用")),"大xxx △弱参考"),IF(OR(K14="🔵 全小"),IF(M14&gt;=4,"小xxx 强·⚠️反转?",IF(M14=3,"小xxx 强·连3期","小xxx ✅强用")),"小xxx △弱参考")))</f>
        <v/>
      </c>
      <c r="P14" s="3" t="n"/>
      <c r="Q14" s="23">
        <f>IF(D14="","",VALUE(MID(TEXT(D14,"0000"),2,1)))</f>
        <v/>
      </c>
      <c r="R14" s="23">
        <f>IF(E14="","",VALUE(MID(TEXT(E14,"0000"),2,1)))</f>
        <v/>
      </c>
      <c r="S14" s="23">
        <f>IF(F14="","",VALUE(MID(TEXT(F14,"0000"),2,1)))</f>
        <v/>
      </c>
      <c r="T14" s="31">
        <f>IF(D14="","",IF(COUNTIF(Q14:S14,"&gt;=5")=3,"🔴 全大",IF(COUNTIF(Q14:S14,"&gt;=5")=0,"🔵 全小",IF(COUNTIF(Q14:S14,"&gt;=5")=2,"▲ 偏大","▼ 偏小"))))</f>
        <v/>
      </c>
      <c r="U14" s="31">
        <f>IF(D14="","",IF((MOD(Q14,2)=1)+(MOD(R14,2)=1)+(MOD(S14,2)=1)=3,"⚫ 全单",IF((MOD(Q14,2)=1)+(MOD(R14,2)=1)+(MOD(S14,2)=1)=0,"🟣 全双",IF((MOD(Q14,2)=1)+(MOD(R14,2)=1)+(MOD(S14,2)=1)=2,"◑ 偏单","◑ 偏双"))))</f>
        <v/>
      </c>
      <c r="V14" s="33">
        <f>IF(D14="","",IF(D13="",1,IF(ISNUMBER(SEARCH("大",T14))=ISNUMBER(SEARCH("大",T13)),V13+1,1)))</f>
        <v/>
      </c>
      <c r="W14" s="31">
        <f>IF(V14="","",IF(V14&gt;=4,"🚨 "&amp;V14&amp;"期·警惕反转",IF(V14=3,"⚠️ 3期连续","—")))</f>
        <v/>
      </c>
      <c r="X14" s="22">
        <f>IF(T14="","—",IF(ISNUMBER(SEARCH("大",T14)),IF(OR(T14="🔴 全大"),IF(V14&gt;=4,"x大xx 强·⚠️反转?",IF(V14=3,"x大xx 强·连3期","x大xx ✅强用")),"x大xx △弱参考"),IF(OR(T14="🔵 全小"),IF(V14&gt;=4,"x小xx 强·⚠️反转?",IF(V14=3,"x小xx 强·连3期","x小xx ✅强用")),"x小xx △弱参考")))</f>
        <v/>
      </c>
      <c r="Y14" s="3" t="n"/>
      <c r="Z14" s="25">
        <f>IF(D14="","",VALUE(MID(TEXT(D14,"0000"),3,1)))</f>
        <v/>
      </c>
      <c r="AA14" s="25">
        <f>IF(E14="","",VALUE(MID(TEXT(E14,"0000"),3,1)))</f>
        <v/>
      </c>
      <c r="AB14" s="25">
        <f>IF(F14="","",VALUE(MID(TEXT(F14,"0000"),3,1)))</f>
        <v/>
      </c>
      <c r="AC14" s="31">
        <f>IF(D14="","",IF(COUNTIF(Z14:AB14,"&gt;=5")=3,"🔴 全大",IF(COUNTIF(Z14:AB14,"&gt;=5")=0,"🔵 全小",IF(COUNTIF(Z14:AB14,"&gt;=5")=2,"▲ 偏大","▼ 偏小"))))</f>
        <v/>
      </c>
      <c r="AD14" s="31">
        <f>IF(D14="","",IF((MOD(Z14,2)=1)+(MOD(AA14,2)=1)+(MOD(AB14,2)=1)=3,"⚫ 全单",IF((MOD(Z14,2)=1)+(MOD(AA14,2)=1)+(MOD(AB14,2)=1)=0,"🟣 全双",IF((MOD(Z14,2)=1)+(MOD(AA14,2)=1)+(MOD(AB14,2)=1)=2,"◑ 偏单","◑ 偏双"))))</f>
        <v/>
      </c>
      <c r="AE14" s="34">
        <f>IF(D14="","",IF(D13="",1,IF(ISNUMBER(SEARCH("大",AC14))=ISNUMBER(SEARCH("大",AC13)),AE13+1,1)))</f>
        <v/>
      </c>
      <c r="AF14" s="31">
        <f>IF(AE14="","",IF(AE14&gt;=4,"🚨 "&amp;AE14&amp;"期·警惕反转",IF(AE14=3,"⚠️ 3期连续","—")))</f>
        <v/>
      </c>
      <c r="AG14" s="22">
        <f>IF(AC14="","—",IF(ISNUMBER(SEARCH("大",AC14)),IF(OR(AC14="🔴 全大"),IF(AE14&gt;=4,"xx大x 强·⚠️反转?",IF(AE14=3,"xx大x 强·连3期","xx大x ✅强用")),"xx大x △弱参考"),IF(OR(AC14="🔵 全小"),IF(AE14&gt;=4,"xx小x 强·⚠️反转?",IF(AE14=3,"xx小x 强·连3期","xx小x ✅强用")),"xx小x △弱参考")))</f>
        <v/>
      </c>
      <c r="AH14" s="3" t="n"/>
      <c r="AI14" s="27">
        <f>IF(D14="","",VALUE(MID(TEXT(D14,"0000"),4,1)))</f>
        <v/>
      </c>
      <c r="AJ14" s="27">
        <f>IF(E14="","",VALUE(MID(TEXT(E14,"0000"),4,1)))</f>
        <v/>
      </c>
      <c r="AK14" s="27">
        <f>IF(F14="","",VALUE(MID(TEXT(F14,"0000"),4,1)))</f>
        <v/>
      </c>
      <c r="AL14" s="31">
        <f>IF(D14="","",IF(COUNTIF(AI14:AK14,"&gt;=5")=3,"🔴 全大",IF(COUNTIF(AI14:AK14,"&gt;=5")=0,"🔵 全小",IF(COUNTIF(AI14:AK14,"&gt;=5")=2,"▲ 偏大","▼ 偏小"))))</f>
        <v/>
      </c>
      <c r="AM14" s="31">
        <f>IF(D14="","",IF((MOD(AI14,2)=1)+(MOD(AJ14,2)=1)+(MOD(AK14,2)=1)=3,"⚫ 全单",IF((MOD(AI14,2)=1)+(MOD(AJ14,2)=1)+(MOD(AK14,2)=1)=0,"🟣 全双",IF((MOD(AI14,2)=1)+(MOD(AJ14,2)=1)+(MOD(AK14,2)=1)=2,"◑ 偏单","◑ 偏双"))))</f>
        <v/>
      </c>
      <c r="AN14" s="35">
        <f>IF(D14="","",IF(D13="",1,IF(ISNUMBER(SEARCH("大",AL14))=ISNUMBER(SEARCH("大",AL13)),AN13+1,1)))</f>
        <v/>
      </c>
      <c r="AO14" s="31">
        <f>IF(AN14="","",IF(AN14&gt;=4,"🚨 "&amp;AN14&amp;"期·警惕反转",IF(AN14=3,"⚠️ 3期连续","—")))</f>
        <v/>
      </c>
      <c r="AP14" s="22">
        <f>IF(AL14="","—",IF(ISNUMBER(SEARCH("大",AL14)),IF(OR(AL14="🔴 全大"),IF(AN14&gt;=4,"xxx大 强·⚠️反转?",IF(AN14=3,"xxx大 强·连3期","xxx大 ✅强用")),"xxx大 △弱参考"),IF(OR(AL14="🔵 全小"),IF(AN14&gt;=4,"xxx小 强·⚠️反转?",IF(AN14=3,"xxx小 强·连3期","xxx小 ✅强用")),"xxx小 △弱参考")))</f>
        <v/>
      </c>
      <c r="AQ14" s="3" t="n"/>
      <c r="AR14" s="31">
        <f>IF(OR(D14="",D13=""),"—",IF(K13="","—",IF(ISNUMBER(SEARCH("大",K13)),IF(COUNTIF(H14:J14,"&gt;=5")&gt;=2,"✅","❌"),IF(COUNTIF(H14:J14,"&gt;=5")&lt;=1,"✅","❌"))))</f>
        <v/>
      </c>
      <c r="AS14" s="31">
        <f>IF(OR(D14="",D13=""),"—",IF(T13="","—",IF(ISNUMBER(SEARCH("大",T13)),IF(COUNTIF(Q14:S14,"&gt;=5")&gt;=2,"✅","❌"),IF(COUNTIF(Q14:S14,"&gt;=5")&lt;=1,"✅","❌"))))</f>
        <v/>
      </c>
      <c r="AT14" s="31">
        <f>IF(OR(D14="",D13=""),"—",IF(AC13="","—",IF(ISNUMBER(SEARCH("大",AC13)),IF(COUNTIF(Z14:AB14,"&gt;=5")&gt;=2,"✅","❌"),IF(COUNTIF(Z14:AB14,"&gt;=5")&lt;=1,"✅","❌"))))</f>
        <v/>
      </c>
      <c r="AU14" s="31">
        <f>IF(OR(D14="",D13=""),"—",IF(AL13="","—",IF(ISNUMBER(SEARCH("大",AL13)),IF(COUNTIF(AI14:AK14,"&gt;=5")&gt;=2,"✅","❌"),IF(COUNTIF(AI14:AK14,"&gt;=5")&lt;=1,"✅","❌"))))</f>
        <v/>
      </c>
      <c r="AW14" s="36" t="n"/>
    </row>
    <row r="15" ht="18" customHeight="1">
      <c r="A15" s="16" t="n">
        <v>11</v>
      </c>
      <c r="B15" s="17" t="inlineStr">
        <is>
          <t>2026-05-24</t>
        </is>
      </c>
      <c r="C15" s="18" t="inlineStr">
        <is>
          <t>万能</t>
        </is>
      </c>
      <c r="D15" s="17" t="inlineStr">
        <is>
          <t>2624</t>
        </is>
      </c>
      <c r="E15" s="17" t="inlineStr">
        <is>
          <t>3953</t>
        </is>
      </c>
      <c r="F15" s="17" t="inlineStr">
        <is>
          <t>3693</t>
        </is>
      </c>
      <c r="G15" s="3" t="n"/>
      <c r="H15" s="19">
        <f>IF(D15="","",VALUE(MID(TEXT(D15,"0000"),1,1)))</f>
        <v/>
      </c>
      <c r="I15" s="19">
        <f>IF(E15="","",VALUE(MID(TEXT(E15,"0000"),1,1)))</f>
        <v/>
      </c>
      <c r="J15" s="19">
        <f>IF(F15="","",VALUE(MID(TEXT(F15,"0000"),1,1)))</f>
        <v/>
      </c>
      <c r="K15" s="20">
        <f>IF(D15="","",IF(COUNTIF(H15:J15,"&gt;=5")=3,"🔴 全大",IF(COUNTIF(H15:J15,"&gt;=5")=0,"🔵 全小",IF(COUNTIF(H15:J15,"&gt;=5")=2,"▲ 偏大","▼ 偏小"))))</f>
        <v/>
      </c>
      <c r="L15" s="20">
        <f>IF(D15="","",IF((MOD(H15,2)=1)+(MOD(I15,2)=1)+(MOD(J15,2)=1)=3,"⚫ 全单",IF((MOD(H15,2)=1)+(MOD(I15,2)=1)+(MOD(J15,2)=1)=0,"🟣 全双",IF((MOD(H15,2)=1)+(MOD(I15,2)=1)+(MOD(J15,2)=1)=2,"◑ 偏单","◑ 偏双"))))</f>
        <v/>
      </c>
      <c r="M15" s="21">
        <f>IF(D15="","",IF(D14="",1,IF(ISNUMBER(SEARCH("大",K15))=ISNUMBER(SEARCH("大",K14)),M14+1,1)))</f>
        <v/>
      </c>
      <c r="N15" s="20">
        <f>IF(M15="","",IF(M15&gt;=4,"🚨 "&amp;M15&amp;"期·警惕反转",IF(M15=3,"⚠️ 3期连续","—")))</f>
        <v/>
      </c>
      <c r="O15" s="22">
        <f>IF(K15="","—",IF(ISNUMBER(SEARCH("大",K15)),IF(OR(K15="🔴 全大"),IF(M15&gt;=4,"大xxx 强·⚠️反转?",IF(M15=3,"大xxx 强·连3期","大xxx ✅强用")),"大xxx △弱参考"),IF(OR(K15="🔵 全小"),IF(M15&gt;=4,"小xxx 强·⚠️反转?",IF(M15=3,"小xxx 强·连3期","小xxx ✅强用")),"小xxx △弱参考")))</f>
        <v/>
      </c>
      <c r="P15" s="3" t="n"/>
      <c r="Q15" s="23">
        <f>IF(D15="","",VALUE(MID(TEXT(D15,"0000"),2,1)))</f>
        <v/>
      </c>
      <c r="R15" s="23">
        <f>IF(E15="","",VALUE(MID(TEXT(E15,"0000"),2,1)))</f>
        <v/>
      </c>
      <c r="S15" s="23">
        <f>IF(F15="","",VALUE(MID(TEXT(F15,"0000"),2,1)))</f>
        <v/>
      </c>
      <c r="T15" s="20">
        <f>IF(D15="","",IF(COUNTIF(Q15:S15,"&gt;=5")=3,"🔴 全大",IF(COUNTIF(Q15:S15,"&gt;=5")=0,"🔵 全小",IF(COUNTIF(Q15:S15,"&gt;=5")=2,"▲ 偏大","▼ 偏小"))))</f>
        <v/>
      </c>
      <c r="U15" s="20">
        <f>IF(D15="","",IF((MOD(Q15,2)=1)+(MOD(R15,2)=1)+(MOD(S15,2)=1)=3,"⚫ 全单",IF((MOD(Q15,2)=1)+(MOD(R15,2)=1)+(MOD(S15,2)=1)=0,"🟣 全双",IF((MOD(Q15,2)=1)+(MOD(R15,2)=1)+(MOD(S15,2)=1)=2,"◑ 偏单","◑ 偏双"))))</f>
        <v/>
      </c>
      <c r="V15" s="24">
        <f>IF(D15="","",IF(D14="",1,IF(ISNUMBER(SEARCH("大",T15))=ISNUMBER(SEARCH("大",T14)),V14+1,1)))</f>
        <v/>
      </c>
      <c r="W15" s="20">
        <f>IF(V15="","",IF(V15&gt;=4,"🚨 "&amp;V15&amp;"期·警惕反转",IF(V15=3,"⚠️ 3期连续","—")))</f>
        <v/>
      </c>
      <c r="X15" s="22">
        <f>IF(T15="","—",IF(ISNUMBER(SEARCH("大",T15)),IF(OR(T15="🔴 全大"),IF(V15&gt;=4,"x大xx 强·⚠️反转?",IF(V15=3,"x大xx 强·连3期","x大xx ✅强用")),"x大xx △弱参考"),IF(OR(T15="🔵 全小"),IF(V15&gt;=4,"x小xx 强·⚠️反转?",IF(V15=3,"x小xx 强·连3期","x小xx ✅强用")),"x小xx △弱参考")))</f>
        <v/>
      </c>
      <c r="Y15" s="3" t="n"/>
      <c r="Z15" s="25">
        <f>IF(D15="","",VALUE(MID(TEXT(D15,"0000"),3,1)))</f>
        <v/>
      </c>
      <c r="AA15" s="25">
        <f>IF(E15="","",VALUE(MID(TEXT(E15,"0000"),3,1)))</f>
        <v/>
      </c>
      <c r="AB15" s="25">
        <f>IF(F15="","",VALUE(MID(TEXT(F15,"0000"),3,1)))</f>
        <v/>
      </c>
      <c r="AC15" s="20">
        <f>IF(D15="","",IF(COUNTIF(Z15:AB15,"&gt;=5")=3,"🔴 全大",IF(COUNTIF(Z15:AB15,"&gt;=5")=0,"🔵 全小",IF(COUNTIF(Z15:AB15,"&gt;=5")=2,"▲ 偏大","▼ 偏小"))))</f>
        <v/>
      </c>
      <c r="AD15" s="20">
        <f>IF(D15="","",IF((MOD(Z15,2)=1)+(MOD(AA15,2)=1)+(MOD(AB15,2)=1)=3,"⚫ 全单",IF((MOD(Z15,2)=1)+(MOD(AA15,2)=1)+(MOD(AB15,2)=1)=0,"🟣 全双",IF((MOD(Z15,2)=1)+(MOD(AA15,2)=1)+(MOD(AB15,2)=1)=2,"◑ 偏单","◑ 偏双"))))</f>
        <v/>
      </c>
      <c r="AE15" s="26">
        <f>IF(D15="","",IF(D14="",1,IF(ISNUMBER(SEARCH("大",AC15))=ISNUMBER(SEARCH("大",AC14)),AE14+1,1)))</f>
        <v/>
      </c>
      <c r="AF15" s="20">
        <f>IF(AE15="","",IF(AE15&gt;=4,"🚨 "&amp;AE15&amp;"期·警惕反转",IF(AE15=3,"⚠️ 3期连续","—")))</f>
        <v/>
      </c>
      <c r="AG15" s="22">
        <f>IF(AC15="","—",IF(ISNUMBER(SEARCH("大",AC15)),IF(OR(AC15="🔴 全大"),IF(AE15&gt;=4,"xx大x 强·⚠️反转?",IF(AE15=3,"xx大x 强·连3期","xx大x ✅强用")),"xx大x △弱参考"),IF(OR(AC15="🔵 全小"),IF(AE15&gt;=4,"xx小x 强·⚠️反转?",IF(AE15=3,"xx小x 强·连3期","xx小x ✅强用")),"xx小x △弱参考")))</f>
        <v/>
      </c>
      <c r="AH15" s="3" t="n"/>
      <c r="AI15" s="27">
        <f>IF(D15="","",VALUE(MID(TEXT(D15,"0000"),4,1)))</f>
        <v/>
      </c>
      <c r="AJ15" s="27">
        <f>IF(E15="","",VALUE(MID(TEXT(E15,"0000"),4,1)))</f>
        <v/>
      </c>
      <c r="AK15" s="27">
        <f>IF(F15="","",VALUE(MID(TEXT(F15,"0000"),4,1)))</f>
        <v/>
      </c>
      <c r="AL15" s="20">
        <f>IF(D15="","",IF(COUNTIF(AI15:AK15,"&gt;=5")=3,"🔴 全大",IF(COUNTIF(AI15:AK15,"&gt;=5")=0,"🔵 全小",IF(COUNTIF(AI15:AK15,"&gt;=5")=2,"▲ 偏大","▼ 偏小"))))</f>
        <v/>
      </c>
      <c r="AM15" s="20">
        <f>IF(D15="","",IF((MOD(AI15,2)=1)+(MOD(AJ15,2)=1)+(MOD(AK15,2)=1)=3,"⚫ 全单",IF((MOD(AI15,2)=1)+(MOD(AJ15,2)=1)+(MOD(AK15,2)=1)=0,"🟣 全双",IF((MOD(AI15,2)=1)+(MOD(AJ15,2)=1)+(MOD(AK15,2)=1)=2,"◑ 偏单","◑ 偏双"))))</f>
        <v/>
      </c>
      <c r="AN15" s="28">
        <f>IF(D15="","",IF(D14="",1,IF(ISNUMBER(SEARCH("大",AL15))=ISNUMBER(SEARCH("大",AL14)),AN14+1,1)))</f>
        <v/>
      </c>
      <c r="AO15" s="20">
        <f>IF(AN15="","",IF(AN15&gt;=4,"🚨 "&amp;AN15&amp;"期·警惕反转",IF(AN15=3,"⚠️ 3期连续","—")))</f>
        <v/>
      </c>
      <c r="AP15" s="22">
        <f>IF(AL15="","—",IF(ISNUMBER(SEARCH("大",AL15)),IF(OR(AL15="🔴 全大"),IF(AN15&gt;=4,"xxx大 强·⚠️反转?",IF(AN15=3,"xxx大 强·连3期","xxx大 ✅强用")),"xxx大 △弱参考"),IF(OR(AL15="🔵 全小"),IF(AN15&gt;=4,"xxx小 强·⚠️反转?",IF(AN15=3,"xxx小 强·连3期","xxx小 ✅强用")),"xxx小 △弱参考")))</f>
        <v/>
      </c>
      <c r="AQ15" s="3" t="n"/>
      <c r="AR15" s="20">
        <f>IF(OR(D15="",D14=""),"—",IF(K14="","—",IF(ISNUMBER(SEARCH("大",K14)),IF(COUNTIF(H15:J15,"&gt;=5")&gt;=2,"✅","❌"),IF(COUNTIF(H15:J15,"&gt;=5")&lt;=1,"✅","❌"))))</f>
        <v/>
      </c>
      <c r="AS15" s="20">
        <f>IF(OR(D15="",D14=""),"—",IF(T14="","—",IF(ISNUMBER(SEARCH("大",T14)),IF(COUNTIF(Q15:S15,"&gt;=5")&gt;=2,"✅","❌"),IF(COUNTIF(Q15:S15,"&gt;=5")&lt;=1,"✅","❌"))))</f>
        <v/>
      </c>
      <c r="AT15" s="20">
        <f>IF(OR(D15="",D14=""),"—",IF(AC14="","—",IF(ISNUMBER(SEARCH("大",AC14)),IF(COUNTIF(Z15:AB15,"&gt;=5")&gt;=2,"✅","❌"),IF(COUNTIF(Z15:AB15,"&gt;=5")&lt;=1,"✅","❌"))))</f>
        <v/>
      </c>
      <c r="AU15" s="20">
        <f>IF(OR(D15="",D14=""),"—",IF(AL14="","—",IF(ISNUMBER(SEARCH("大",AL14)),IF(COUNTIF(AI15:AK15,"&gt;=5")&gt;=2,"✅","❌"),IF(COUNTIF(AI15:AK15,"&gt;=5")&lt;=1,"✅","❌"))))</f>
        <v/>
      </c>
      <c r="AW15" s="30" t="n"/>
    </row>
    <row r="16" ht="18" customHeight="1">
      <c r="A16" s="16" t="n">
        <v>12</v>
      </c>
      <c r="B16" s="17" t="inlineStr">
        <is>
          <t>2026-05-27</t>
        </is>
      </c>
      <c r="C16" s="18" t="inlineStr">
        <is>
          <t>万能</t>
        </is>
      </c>
      <c r="D16" s="17" t="inlineStr">
        <is>
          <t>9724</t>
        </is>
      </c>
      <c r="E16" s="17" t="inlineStr">
        <is>
          <t>9912</t>
        </is>
      </c>
      <c r="F16" s="17" t="inlineStr">
        <is>
          <t>7654</t>
        </is>
      </c>
      <c r="G16" s="3" t="n"/>
      <c r="H16" s="19">
        <f>IF(D16="","",VALUE(MID(TEXT(D16,"0000"),1,1)))</f>
        <v/>
      </c>
      <c r="I16" s="19">
        <f>IF(E16="","",VALUE(MID(TEXT(E16,"0000"),1,1)))</f>
        <v/>
      </c>
      <c r="J16" s="19">
        <f>IF(F16="","",VALUE(MID(TEXT(F16,"0000"),1,1)))</f>
        <v/>
      </c>
      <c r="K16" s="31">
        <f>IF(D16="","",IF(COUNTIF(H16:J16,"&gt;=5")=3,"🔴 全大",IF(COUNTIF(H16:J16,"&gt;=5")=0,"🔵 全小",IF(COUNTIF(H16:J16,"&gt;=5")=2,"▲ 偏大","▼ 偏小"))))</f>
        <v/>
      </c>
      <c r="L16" s="31">
        <f>IF(D16="","",IF((MOD(H16,2)=1)+(MOD(I16,2)=1)+(MOD(J16,2)=1)=3,"⚫ 全单",IF((MOD(H16,2)=1)+(MOD(I16,2)=1)+(MOD(J16,2)=1)=0,"🟣 全双",IF((MOD(H16,2)=1)+(MOD(I16,2)=1)+(MOD(J16,2)=1)=2,"◑ 偏单","◑ 偏双"))))</f>
        <v/>
      </c>
      <c r="M16" s="32">
        <f>IF(D16="","",IF(D15="",1,IF(ISNUMBER(SEARCH("大",K16))=ISNUMBER(SEARCH("大",K15)),M15+1,1)))</f>
        <v/>
      </c>
      <c r="N16" s="31">
        <f>IF(M16="","",IF(M16&gt;=4,"🚨 "&amp;M16&amp;"期·警惕反转",IF(M16=3,"⚠️ 3期连续","—")))</f>
        <v/>
      </c>
      <c r="O16" s="22">
        <f>IF(K16="","—",IF(ISNUMBER(SEARCH("大",K16)),IF(OR(K16="🔴 全大"),IF(M16&gt;=4,"大xxx 强·⚠️反转?",IF(M16=3,"大xxx 强·连3期","大xxx ✅强用")),"大xxx △弱参考"),IF(OR(K16="🔵 全小"),IF(M16&gt;=4,"小xxx 强·⚠️反转?",IF(M16=3,"小xxx 强·连3期","小xxx ✅强用")),"小xxx △弱参考")))</f>
        <v/>
      </c>
      <c r="P16" s="3" t="n"/>
      <c r="Q16" s="23">
        <f>IF(D16="","",VALUE(MID(TEXT(D16,"0000"),2,1)))</f>
        <v/>
      </c>
      <c r="R16" s="23">
        <f>IF(E16="","",VALUE(MID(TEXT(E16,"0000"),2,1)))</f>
        <v/>
      </c>
      <c r="S16" s="23">
        <f>IF(F16="","",VALUE(MID(TEXT(F16,"0000"),2,1)))</f>
        <v/>
      </c>
      <c r="T16" s="31">
        <f>IF(D16="","",IF(COUNTIF(Q16:S16,"&gt;=5")=3,"🔴 全大",IF(COUNTIF(Q16:S16,"&gt;=5")=0,"🔵 全小",IF(COUNTIF(Q16:S16,"&gt;=5")=2,"▲ 偏大","▼ 偏小"))))</f>
        <v/>
      </c>
      <c r="U16" s="31">
        <f>IF(D16="","",IF((MOD(Q16,2)=1)+(MOD(R16,2)=1)+(MOD(S16,2)=1)=3,"⚫ 全单",IF((MOD(Q16,2)=1)+(MOD(R16,2)=1)+(MOD(S16,2)=1)=0,"🟣 全双",IF((MOD(Q16,2)=1)+(MOD(R16,2)=1)+(MOD(S16,2)=1)=2,"◑ 偏单","◑ 偏双"))))</f>
        <v/>
      </c>
      <c r="V16" s="33">
        <f>IF(D16="","",IF(D15="",1,IF(ISNUMBER(SEARCH("大",T16))=ISNUMBER(SEARCH("大",T15)),V15+1,1)))</f>
        <v/>
      </c>
      <c r="W16" s="31">
        <f>IF(V16="","",IF(V16&gt;=4,"🚨 "&amp;V16&amp;"期·警惕反转",IF(V16=3,"⚠️ 3期连续","—")))</f>
        <v/>
      </c>
      <c r="X16" s="22">
        <f>IF(T16="","—",IF(ISNUMBER(SEARCH("大",T16)),IF(OR(T16="🔴 全大"),IF(V16&gt;=4,"x大xx 强·⚠️反转?",IF(V16=3,"x大xx 强·连3期","x大xx ✅强用")),"x大xx △弱参考"),IF(OR(T16="🔵 全小"),IF(V16&gt;=4,"x小xx 强·⚠️反转?",IF(V16=3,"x小xx 强·连3期","x小xx ✅强用")),"x小xx △弱参考")))</f>
        <v/>
      </c>
      <c r="Y16" s="3" t="n"/>
      <c r="Z16" s="25">
        <f>IF(D16="","",VALUE(MID(TEXT(D16,"0000"),3,1)))</f>
        <v/>
      </c>
      <c r="AA16" s="25">
        <f>IF(E16="","",VALUE(MID(TEXT(E16,"0000"),3,1)))</f>
        <v/>
      </c>
      <c r="AB16" s="25">
        <f>IF(F16="","",VALUE(MID(TEXT(F16,"0000"),3,1)))</f>
        <v/>
      </c>
      <c r="AC16" s="31">
        <f>IF(D16="","",IF(COUNTIF(Z16:AB16,"&gt;=5")=3,"🔴 全大",IF(COUNTIF(Z16:AB16,"&gt;=5")=0,"🔵 全小",IF(COUNTIF(Z16:AB16,"&gt;=5")=2,"▲ 偏大","▼ 偏小"))))</f>
        <v/>
      </c>
      <c r="AD16" s="31">
        <f>IF(D16="","",IF((MOD(Z16,2)=1)+(MOD(AA16,2)=1)+(MOD(AB16,2)=1)=3,"⚫ 全单",IF((MOD(Z16,2)=1)+(MOD(AA16,2)=1)+(MOD(AB16,2)=1)=0,"🟣 全双",IF((MOD(Z16,2)=1)+(MOD(AA16,2)=1)+(MOD(AB16,2)=1)=2,"◑ 偏单","◑ 偏双"))))</f>
        <v/>
      </c>
      <c r="AE16" s="34">
        <f>IF(D16="","",IF(D15="",1,IF(ISNUMBER(SEARCH("大",AC16))=ISNUMBER(SEARCH("大",AC15)),AE15+1,1)))</f>
        <v/>
      </c>
      <c r="AF16" s="31">
        <f>IF(AE16="","",IF(AE16&gt;=4,"🚨 "&amp;AE16&amp;"期·警惕反转",IF(AE16=3,"⚠️ 3期连续","—")))</f>
        <v/>
      </c>
      <c r="AG16" s="22">
        <f>IF(AC16="","—",IF(ISNUMBER(SEARCH("大",AC16)),IF(OR(AC16="🔴 全大"),IF(AE16&gt;=4,"xx大x 强·⚠️反转?",IF(AE16=3,"xx大x 强·连3期","xx大x ✅强用")),"xx大x △弱参考"),IF(OR(AC16="🔵 全小"),IF(AE16&gt;=4,"xx小x 强·⚠️反转?",IF(AE16=3,"xx小x 强·连3期","xx小x ✅强用")),"xx小x △弱参考")))</f>
        <v/>
      </c>
      <c r="AH16" s="3" t="n"/>
      <c r="AI16" s="27">
        <f>IF(D16="","",VALUE(MID(TEXT(D16,"0000"),4,1)))</f>
        <v/>
      </c>
      <c r="AJ16" s="27">
        <f>IF(E16="","",VALUE(MID(TEXT(E16,"0000"),4,1)))</f>
        <v/>
      </c>
      <c r="AK16" s="27">
        <f>IF(F16="","",VALUE(MID(TEXT(F16,"0000"),4,1)))</f>
        <v/>
      </c>
      <c r="AL16" s="31">
        <f>IF(D16="","",IF(COUNTIF(AI16:AK16,"&gt;=5")=3,"🔴 全大",IF(COUNTIF(AI16:AK16,"&gt;=5")=0,"🔵 全小",IF(COUNTIF(AI16:AK16,"&gt;=5")=2,"▲ 偏大","▼ 偏小"))))</f>
        <v/>
      </c>
      <c r="AM16" s="31">
        <f>IF(D16="","",IF((MOD(AI16,2)=1)+(MOD(AJ16,2)=1)+(MOD(AK16,2)=1)=3,"⚫ 全单",IF((MOD(AI16,2)=1)+(MOD(AJ16,2)=1)+(MOD(AK16,2)=1)=0,"🟣 全双",IF((MOD(AI16,2)=1)+(MOD(AJ16,2)=1)+(MOD(AK16,2)=1)=2,"◑ 偏单","◑ 偏双"))))</f>
        <v/>
      </c>
      <c r="AN16" s="35">
        <f>IF(D16="","",IF(D15="",1,IF(ISNUMBER(SEARCH("大",AL16))=ISNUMBER(SEARCH("大",AL15)),AN15+1,1)))</f>
        <v/>
      </c>
      <c r="AO16" s="31">
        <f>IF(AN16="","",IF(AN16&gt;=4,"🚨 "&amp;AN16&amp;"期·警惕反转",IF(AN16=3,"⚠️ 3期连续","—")))</f>
        <v/>
      </c>
      <c r="AP16" s="22">
        <f>IF(AL16="","—",IF(ISNUMBER(SEARCH("大",AL16)),IF(OR(AL16="🔴 全大"),IF(AN16&gt;=4,"xxx大 强·⚠️反转?",IF(AN16=3,"xxx大 强·连3期","xxx大 ✅强用")),"xxx大 △弱参考"),IF(OR(AL16="🔵 全小"),IF(AN16&gt;=4,"xxx小 强·⚠️反转?",IF(AN16=3,"xxx小 强·连3期","xxx小 ✅强用")),"xxx小 △弱参考")))</f>
        <v/>
      </c>
      <c r="AQ16" s="3" t="n"/>
      <c r="AR16" s="31">
        <f>IF(OR(D16="",D15=""),"—",IF(K15="","—",IF(ISNUMBER(SEARCH("大",K15)),IF(COUNTIF(H16:J16,"&gt;=5")&gt;=2,"✅","❌"),IF(COUNTIF(H16:J16,"&gt;=5")&lt;=1,"✅","❌"))))</f>
        <v/>
      </c>
      <c r="AS16" s="31">
        <f>IF(OR(D16="",D15=""),"—",IF(T15="","—",IF(ISNUMBER(SEARCH("大",T15)),IF(COUNTIF(Q16:S16,"&gt;=5")&gt;=2,"✅","❌"),IF(COUNTIF(Q16:S16,"&gt;=5")&lt;=1,"✅","❌"))))</f>
        <v/>
      </c>
      <c r="AT16" s="31">
        <f>IF(OR(D16="",D15=""),"—",IF(AC15="","—",IF(ISNUMBER(SEARCH("大",AC15)),IF(COUNTIF(Z16:AB16,"&gt;=5")&gt;=2,"✅","❌"),IF(COUNTIF(Z16:AB16,"&gt;=5")&lt;=1,"✅","❌"))))</f>
        <v/>
      </c>
      <c r="AU16" s="31">
        <f>IF(OR(D16="",D15=""),"—",IF(AL15="","—",IF(ISNUMBER(SEARCH("大",AL15)),IF(COUNTIF(AI16:AK16,"&gt;=5")&gt;=2,"✅","❌"),IF(COUNTIF(AI16:AK16,"&gt;=5")&lt;=1,"✅","❌"))))</f>
        <v/>
      </c>
      <c r="AW16" s="36" t="n"/>
    </row>
    <row r="17" ht="18" customHeight="1">
      <c r="A17" s="16" t="n">
        <v>13</v>
      </c>
      <c r="B17" s="17" t="inlineStr">
        <is>
          <t>2026-05-30</t>
        </is>
      </c>
      <c r="C17" s="18" t="inlineStr">
        <is>
          <t>万能</t>
        </is>
      </c>
      <c r="D17" s="17" t="inlineStr">
        <is>
          <t>6789</t>
        </is>
      </c>
      <c r="E17" s="17" t="inlineStr">
        <is>
          <t>9907</t>
        </is>
      </c>
      <c r="F17" s="17" t="inlineStr">
        <is>
          <t>9153</t>
        </is>
      </c>
      <c r="G17" s="3" t="n"/>
      <c r="H17" s="19">
        <f>IF(D17="","",VALUE(MID(TEXT(D17,"0000"),1,1)))</f>
        <v/>
      </c>
      <c r="I17" s="19">
        <f>IF(E17="","",VALUE(MID(TEXT(E17,"0000"),1,1)))</f>
        <v/>
      </c>
      <c r="J17" s="19">
        <f>IF(F17="","",VALUE(MID(TEXT(F17,"0000"),1,1)))</f>
        <v/>
      </c>
      <c r="K17" s="20">
        <f>IF(D17="","",IF(COUNTIF(H17:J17,"&gt;=5")=3,"🔴 全大",IF(COUNTIF(H17:J17,"&gt;=5")=0,"🔵 全小",IF(COUNTIF(H17:J17,"&gt;=5")=2,"▲ 偏大","▼ 偏小"))))</f>
        <v/>
      </c>
      <c r="L17" s="20">
        <f>IF(D17="","",IF((MOD(H17,2)=1)+(MOD(I17,2)=1)+(MOD(J17,2)=1)=3,"⚫ 全单",IF((MOD(H17,2)=1)+(MOD(I17,2)=1)+(MOD(J17,2)=1)=0,"🟣 全双",IF((MOD(H17,2)=1)+(MOD(I17,2)=1)+(MOD(J17,2)=1)=2,"◑ 偏单","◑ 偏双"))))</f>
        <v/>
      </c>
      <c r="M17" s="21">
        <f>IF(D17="","",IF(D16="",1,IF(ISNUMBER(SEARCH("大",K17))=ISNUMBER(SEARCH("大",K16)),M16+1,1)))</f>
        <v/>
      </c>
      <c r="N17" s="20">
        <f>IF(M17="","",IF(M17&gt;=4,"🚨 "&amp;M17&amp;"期·警惕反转",IF(M17=3,"⚠️ 3期连续","—")))</f>
        <v/>
      </c>
      <c r="O17" s="22">
        <f>IF(K17="","—",IF(ISNUMBER(SEARCH("大",K17)),IF(OR(K17="🔴 全大"),IF(M17&gt;=4,"大xxx 强·⚠️反转?",IF(M17=3,"大xxx 强·连3期","大xxx ✅强用")),"大xxx △弱参考"),IF(OR(K17="🔵 全小"),IF(M17&gt;=4,"小xxx 强·⚠️反转?",IF(M17=3,"小xxx 强·连3期","小xxx ✅强用")),"小xxx △弱参考")))</f>
        <v/>
      </c>
      <c r="P17" s="3" t="n"/>
      <c r="Q17" s="23">
        <f>IF(D17="","",VALUE(MID(TEXT(D17,"0000"),2,1)))</f>
        <v/>
      </c>
      <c r="R17" s="23">
        <f>IF(E17="","",VALUE(MID(TEXT(E17,"0000"),2,1)))</f>
        <v/>
      </c>
      <c r="S17" s="23">
        <f>IF(F17="","",VALUE(MID(TEXT(F17,"0000"),2,1)))</f>
        <v/>
      </c>
      <c r="T17" s="20">
        <f>IF(D17="","",IF(COUNTIF(Q17:S17,"&gt;=5")=3,"🔴 全大",IF(COUNTIF(Q17:S17,"&gt;=5")=0,"🔵 全小",IF(COUNTIF(Q17:S17,"&gt;=5")=2,"▲ 偏大","▼ 偏小"))))</f>
        <v/>
      </c>
      <c r="U17" s="20">
        <f>IF(D17="","",IF((MOD(Q17,2)=1)+(MOD(R17,2)=1)+(MOD(S17,2)=1)=3,"⚫ 全单",IF((MOD(Q17,2)=1)+(MOD(R17,2)=1)+(MOD(S17,2)=1)=0,"🟣 全双",IF((MOD(Q17,2)=1)+(MOD(R17,2)=1)+(MOD(S17,2)=1)=2,"◑ 偏单","◑ 偏双"))))</f>
        <v/>
      </c>
      <c r="V17" s="24">
        <f>IF(D17="","",IF(D16="",1,IF(ISNUMBER(SEARCH("大",T17))=ISNUMBER(SEARCH("大",T16)),V16+1,1)))</f>
        <v/>
      </c>
      <c r="W17" s="20">
        <f>IF(V17="","",IF(V17&gt;=4,"🚨 "&amp;V17&amp;"期·警惕反转",IF(V17=3,"⚠️ 3期连续","—")))</f>
        <v/>
      </c>
      <c r="X17" s="22">
        <f>IF(T17="","—",IF(ISNUMBER(SEARCH("大",T17)),IF(OR(T17="🔴 全大"),IF(V17&gt;=4,"x大xx 强·⚠️反转?",IF(V17=3,"x大xx 强·连3期","x大xx ✅强用")),"x大xx △弱参考"),IF(OR(T17="🔵 全小"),IF(V17&gt;=4,"x小xx 强·⚠️反转?",IF(V17=3,"x小xx 强·连3期","x小xx ✅强用")),"x小xx △弱参考")))</f>
        <v/>
      </c>
      <c r="Y17" s="3" t="n"/>
      <c r="Z17" s="25">
        <f>IF(D17="","",VALUE(MID(TEXT(D17,"0000"),3,1)))</f>
        <v/>
      </c>
      <c r="AA17" s="25">
        <f>IF(E17="","",VALUE(MID(TEXT(E17,"0000"),3,1)))</f>
        <v/>
      </c>
      <c r="AB17" s="25">
        <f>IF(F17="","",VALUE(MID(TEXT(F17,"0000"),3,1)))</f>
        <v/>
      </c>
      <c r="AC17" s="20">
        <f>IF(D17="","",IF(COUNTIF(Z17:AB17,"&gt;=5")=3,"🔴 全大",IF(COUNTIF(Z17:AB17,"&gt;=5")=0,"🔵 全小",IF(COUNTIF(Z17:AB17,"&gt;=5")=2,"▲ 偏大","▼ 偏小"))))</f>
        <v/>
      </c>
      <c r="AD17" s="20">
        <f>IF(D17="","",IF((MOD(Z17,2)=1)+(MOD(AA17,2)=1)+(MOD(AB17,2)=1)=3,"⚫ 全单",IF((MOD(Z17,2)=1)+(MOD(AA17,2)=1)+(MOD(AB17,2)=1)=0,"🟣 全双",IF((MOD(Z17,2)=1)+(MOD(AA17,2)=1)+(MOD(AB17,2)=1)=2,"◑ 偏单","◑ 偏双"))))</f>
        <v/>
      </c>
      <c r="AE17" s="26">
        <f>IF(D17="","",IF(D16="",1,IF(ISNUMBER(SEARCH("大",AC17))=ISNUMBER(SEARCH("大",AC16)),AE16+1,1)))</f>
        <v/>
      </c>
      <c r="AF17" s="20">
        <f>IF(AE17="","",IF(AE17&gt;=4,"🚨 "&amp;AE17&amp;"期·警惕反转",IF(AE17=3,"⚠️ 3期连续","—")))</f>
        <v/>
      </c>
      <c r="AG17" s="22">
        <f>IF(AC17="","—",IF(ISNUMBER(SEARCH("大",AC17)),IF(OR(AC17="🔴 全大"),IF(AE17&gt;=4,"xx大x 强·⚠️反转?",IF(AE17=3,"xx大x 强·连3期","xx大x ✅强用")),"xx大x △弱参考"),IF(OR(AC17="🔵 全小"),IF(AE17&gt;=4,"xx小x 强·⚠️反转?",IF(AE17=3,"xx小x 强·连3期","xx小x ✅强用")),"xx小x △弱参考")))</f>
        <v/>
      </c>
      <c r="AH17" s="3" t="n"/>
      <c r="AI17" s="27">
        <f>IF(D17="","",VALUE(MID(TEXT(D17,"0000"),4,1)))</f>
        <v/>
      </c>
      <c r="AJ17" s="27">
        <f>IF(E17="","",VALUE(MID(TEXT(E17,"0000"),4,1)))</f>
        <v/>
      </c>
      <c r="AK17" s="27">
        <f>IF(F17="","",VALUE(MID(TEXT(F17,"0000"),4,1)))</f>
        <v/>
      </c>
      <c r="AL17" s="20">
        <f>IF(D17="","",IF(COUNTIF(AI17:AK17,"&gt;=5")=3,"🔴 全大",IF(COUNTIF(AI17:AK17,"&gt;=5")=0,"🔵 全小",IF(COUNTIF(AI17:AK17,"&gt;=5")=2,"▲ 偏大","▼ 偏小"))))</f>
        <v/>
      </c>
      <c r="AM17" s="20">
        <f>IF(D17="","",IF((MOD(AI17,2)=1)+(MOD(AJ17,2)=1)+(MOD(AK17,2)=1)=3,"⚫ 全单",IF((MOD(AI17,2)=1)+(MOD(AJ17,2)=1)+(MOD(AK17,2)=1)=0,"🟣 全双",IF((MOD(AI17,2)=1)+(MOD(AJ17,2)=1)+(MOD(AK17,2)=1)=2,"◑ 偏单","◑ 偏双"))))</f>
        <v/>
      </c>
      <c r="AN17" s="28">
        <f>IF(D17="","",IF(D16="",1,IF(ISNUMBER(SEARCH("大",AL17))=ISNUMBER(SEARCH("大",AL16)),AN16+1,1)))</f>
        <v/>
      </c>
      <c r="AO17" s="20">
        <f>IF(AN17="","",IF(AN17&gt;=4,"🚨 "&amp;AN17&amp;"期·警惕反转",IF(AN17=3,"⚠️ 3期连续","—")))</f>
        <v/>
      </c>
      <c r="AP17" s="22">
        <f>IF(AL17="","—",IF(ISNUMBER(SEARCH("大",AL17)),IF(OR(AL17="🔴 全大"),IF(AN17&gt;=4,"xxx大 强·⚠️反转?",IF(AN17=3,"xxx大 强·连3期","xxx大 ✅强用")),"xxx大 △弱参考"),IF(OR(AL17="🔵 全小"),IF(AN17&gt;=4,"xxx小 强·⚠️反转?",IF(AN17=3,"xxx小 强·连3期","xxx小 ✅强用")),"xxx小 △弱参考")))</f>
        <v/>
      </c>
      <c r="AQ17" s="3" t="n"/>
      <c r="AR17" s="20">
        <f>IF(OR(D17="",D16=""),"—",IF(K16="","—",IF(ISNUMBER(SEARCH("大",K16)),IF(COUNTIF(H17:J17,"&gt;=5")&gt;=2,"✅","❌"),IF(COUNTIF(H17:J17,"&gt;=5")&lt;=1,"✅","❌"))))</f>
        <v/>
      </c>
      <c r="AS17" s="20">
        <f>IF(OR(D17="",D16=""),"—",IF(T16="","—",IF(ISNUMBER(SEARCH("大",T16)),IF(COUNTIF(Q17:S17,"&gt;=5")&gt;=2,"✅","❌"),IF(COUNTIF(Q17:S17,"&gt;=5")&lt;=1,"✅","❌"))))</f>
        <v/>
      </c>
      <c r="AT17" s="20">
        <f>IF(OR(D17="",D16=""),"—",IF(AC16="","—",IF(ISNUMBER(SEARCH("大",AC16)),IF(COUNTIF(Z17:AB17,"&gt;=5")&gt;=2,"✅","❌"),IF(COUNTIF(Z17:AB17,"&gt;=5")&lt;=1,"✅","❌"))))</f>
        <v/>
      </c>
      <c r="AU17" s="20">
        <f>IF(OR(D17="",D16=""),"—",IF(AL16="","—",IF(ISNUMBER(SEARCH("大",AL16)),IF(COUNTIF(AI17:AK17,"&gt;=5")&gt;=2,"✅","❌"),IF(COUNTIF(AI17:AK17,"&gt;=5")&lt;=1,"✅","❌"))))</f>
        <v/>
      </c>
      <c r="AW17" s="30" t="n"/>
    </row>
    <row r="18" ht="18" customHeight="1">
      <c r="A18" s="16" t="n">
        <v>14</v>
      </c>
      <c r="B18" s="17" t="inlineStr">
        <is>
          <t>2026-05-31</t>
        </is>
      </c>
      <c r="C18" s="18" t="inlineStr">
        <is>
          <t>万能</t>
        </is>
      </c>
      <c r="D18" s="17" t="inlineStr">
        <is>
          <t>5984</t>
        </is>
      </c>
      <c r="E18" s="17" t="inlineStr">
        <is>
          <t>0396</t>
        </is>
      </c>
      <c r="F18" s="17" t="inlineStr">
        <is>
          <t>2505</t>
        </is>
      </c>
      <c r="G18" s="3" t="n"/>
      <c r="H18" s="19">
        <f>IF(D18="","",VALUE(MID(TEXT(D18,"0000"),1,1)))</f>
        <v/>
      </c>
      <c r="I18" s="19">
        <f>IF(E18="","",VALUE(MID(TEXT(E18,"0000"),1,1)))</f>
        <v/>
      </c>
      <c r="J18" s="19">
        <f>IF(F18="","",VALUE(MID(TEXT(F18,"0000"),1,1)))</f>
        <v/>
      </c>
      <c r="K18" s="31">
        <f>IF(D18="","",IF(COUNTIF(H18:J18,"&gt;=5")=3,"🔴 全大",IF(COUNTIF(H18:J18,"&gt;=5")=0,"🔵 全小",IF(COUNTIF(H18:J18,"&gt;=5")=2,"▲ 偏大","▼ 偏小"))))</f>
        <v/>
      </c>
      <c r="L18" s="31">
        <f>IF(D18="","",IF((MOD(H18,2)=1)+(MOD(I18,2)=1)+(MOD(J18,2)=1)=3,"⚫ 全单",IF((MOD(H18,2)=1)+(MOD(I18,2)=1)+(MOD(J18,2)=1)=0,"🟣 全双",IF((MOD(H18,2)=1)+(MOD(I18,2)=1)+(MOD(J18,2)=1)=2,"◑ 偏单","◑ 偏双"))))</f>
        <v/>
      </c>
      <c r="M18" s="32">
        <f>IF(D18="","",IF(D17="",1,IF(ISNUMBER(SEARCH("大",K18))=ISNUMBER(SEARCH("大",K17)),M17+1,1)))</f>
        <v/>
      </c>
      <c r="N18" s="31">
        <f>IF(M18="","",IF(M18&gt;=4,"🚨 "&amp;M18&amp;"期·警惕反转",IF(M18=3,"⚠️ 3期连续","—")))</f>
        <v/>
      </c>
      <c r="O18" s="22">
        <f>IF(K18="","—",IF(ISNUMBER(SEARCH("大",K18)),IF(OR(K18="🔴 全大"),IF(M18&gt;=4,"大xxx 强·⚠️反转?",IF(M18=3,"大xxx 强·连3期","大xxx ✅强用")),"大xxx △弱参考"),IF(OR(K18="🔵 全小"),IF(M18&gt;=4,"小xxx 强·⚠️反转?",IF(M18=3,"小xxx 强·连3期","小xxx ✅强用")),"小xxx △弱参考")))</f>
        <v/>
      </c>
      <c r="P18" s="3" t="n"/>
      <c r="Q18" s="23">
        <f>IF(D18="","",VALUE(MID(TEXT(D18,"0000"),2,1)))</f>
        <v/>
      </c>
      <c r="R18" s="23">
        <f>IF(E18="","",VALUE(MID(TEXT(E18,"0000"),2,1)))</f>
        <v/>
      </c>
      <c r="S18" s="23">
        <f>IF(F18="","",VALUE(MID(TEXT(F18,"0000"),2,1)))</f>
        <v/>
      </c>
      <c r="T18" s="31">
        <f>IF(D18="","",IF(COUNTIF(Q18:S18,"&gt;=5")=3,"🔴 全大",IF(COUNTIF(Q18:S18,"&gt;=5")=0,"🔵 全小",IF(COUNTIF(Q18:S18,"&gt;=5")=2,"▲ 偏大","▼ 偏小"))))</f>
        <v/>
      </c>
      <c r="U18" s="31">
        <f>IF(D18="","",IF((MOD(Q18,2)=1)+(MOD(R18,2)=1)+(MOD(S18,2)=1)=3,"⚫ 全单",IF((MOD(Q18,2)=1)+(MOD(R18,2)=1)+(MOD(S18,2)=1)=0,"🟣 全双",IF((MOD(Q18,2)=1)+(MOD(R18,2)=1)+(MOD(S18,2)=1)=2,"◑ 偏单","◑ 偏双"))))</f>
        <v/>
      </c>
      <c r="V18" s="33">
        <f>IF(D18="","",IF(D17="",1,IF(ISNUMBER(SEARCH("大",T18))=ISNUMBER(SEARCH("大",T17)),V17+1,1)))</f>
        <v/>
      </c>
      <c r="W18" s="31">
        <f>IF(V18="","",IF(V18&gt;=4,"🚨 "&amp;V18&amp;"期·警惕反转",IF(V18=3,"⚠️ 3期连续","—")))</f>
        <v/>
      </c>
      <c r="X18" s="22">
        <f>IF(T18="","—",IF(ISNUMBER(SEARCH("大",T18)),IF(OR(T18="🔴 全大"),IF(V18&gt;=4,"x大xx 强·⚠️反转?",IF(V18=3,"x大xx 强·连3期","x大xx ✅强用")),"x大xx △弱参考"),IF(OR(T18="🔵 全小"),IF(V18&gt;=4,"x小xx 强·⚠️反转?",IF(V18=3,"x小xx 强·连3期","x小xx ✅强用")),"x小xx △弱参考")))</f>
        <v/>
      </c>
      <c r="Y18" s="3" t="n"/>
      <c r="Z18" s="25">
        <f>IF(D18="","",VALUE(MID(TEXT(D18,"0000"),3,1)))</f>
        <v/>
      </c>
      <c r="AA18" s="25">
        <f>IF(E18="","",VALUE(MID(TEXT(E18,"0000"),3,1)))</f>
        <v/>
      </c>
      <c r="AB18" s="25">
        <f>IF(F18="","",VALUE(MID(TEXT(F18,"0000"),3,1)))</f>
        <v/>
      </c>
      <c r="AC18" s="31">
        <f>IF(D18="","",IF(COUNTIF(Z18:AB18,"&gt;=5")=3,"🔴 全大",IF(COUNTIF(Z18:AB18,"&gt;=5")=0,"🔵 全小",IF(COUNTIF(Z18:AB18,"&gt;=5")=2,"▲ 偏大","▼ 偏小"))))</f>
        <v/>
      </c>
      <c r="AD18" s="31">
        <f>IF(D18="","",IF((MOD(Z18,2)=1)+(MOD(AA18,2)=1)+(MOD(AB18,2)=1)=3,"⚫ 全单",IF((MOD(Z18,2)=1)+(MOD(AA18,2)=1)+(MOD(AB18,2)=1)=0,"🟣 全双",IF((MOD(Z18,2)=1)+(MOD(AA18,2)=1)+(MOD(AB18,2)=1)=2,"◑ 偏单","◑ 偏双"))))</f>
        <v/>
      </c>
      <c r="AE18" s="34">
        <f>IF(D18="","",IF(D17="",1,IF(ISNUMBER(SEARCH("大",AC18))=ISNUMBER(SEARCH("大",AC17)),AE17+1,1)))</f>
        <v/>
      </c>
      <c r="AF18" s="31">
        <f>IF(AE18="","",IF(AE18&gt;=4,"🚨 "&amp;AE18&amp;"期·警惕反转",IF(AE18=3,"⚠️ 3期连续","—")))</f>
        <v/>
      </c>
      <c r="AG18" s="22">
        <f>IF(AC18="","—",IF(ISNUMBER(SEARCH("大",AC18)),IF(OR(AC18="🔴 全大"),IF(AE18&gt;=4,"xx大x 强·⚠️反转?",IF(AE18=3,"xx大x 强·连3期","xx大x ✅强用")),"xx大x △弱参考"),IF(OR(AC18="🔵 全小"),IF(AE18&gt;=4,"xx小x 强·⚠️反转?",IF(AE18=3,"xx小x 强·连3期","xx小x ✅强用")),"xx小x △弱参考")))</f>
        <v/>
      </c>
      <c r="AH18" s="3" t="n"/>
      <c r="AI18" s="27">
        <f>IF(D18="","",VALUE(MID(TEXT(D18,"0000"),4,1)))</f>
        <v/>
      </c>
      <c r="AJ18" s="27">
        <f>IF(E18="","",VALUE(MID(TEXT(E18,"0000"),4,1)))</f>
        <v/>
      </c>
      <c r="AK18" s="27">
        <f>IF(F18="","",VALUE(MID(TEXT(F18,"0000"),4,1)))</f>
        <v/>
      </c>
      <c r="AL18" s="31">
        <f>IF(D18="","",IF(COUNTIF(AI18:AK18,"&gt;=5")=3,"🔴 全大",IF(COUNTIF(AI18:AK18,"&gt;=5")=0,"🔵 全小",IF(COUNTIF(AI18:AK18,"&gt;=5")=2,"▲ 偏大","▼ 偏小"))))</f>
        <v/>
      </c>
      <c r="AM18" s="31">
        <f>IF(D18="","",IF((MOD(AI18,2)=1)+(MOD(AJ18,2)=1)+(MOD(AK18,2)=1)=3,"⚫ 全单",IF((MOD(AI18,2)=1)+(MOD(AJ18,2)=1)+(MOD(AK18,2)=1)=0,"🟣 全双",IF((MOD(AI18,2)=1)+(MOD(AJ18,2)=1)+(MOD(AK18,2)=1)=2,"◑ 偏单","◑ 偏双"))))</f>
        <v/>
      </c>
      <c r="AN18" s="35">
        <f>IF(D18="","",IF(D17="",1,IF(ISNUMBER(SEARCH("大",AL18))=ISNUMBER(SEARCH("大",AL17)),AN17+1,1)))</f>
        <v/>
      </c>
      <c r="AO18" s="31">
        <f>IF(AN18="","",IF(AN18&gt;=4,"🚨 "&amp;AN18&amp;"期·警惕反转",IF(AN18=3,"⚠️ 3期连续","—")))</f>
        <v/>
      </c>
      <c r="AP18" s="22">
        <f>IF(AL18="","—",IF(ISNUMBER(SEARCH("大",AL18)),IF(OR(AL18="🔴 全大"),IF(AN18&gt;=4,"xxx大 强·⚠️反转?",IF(AN18=3,"xxx大 强·连3期","xxx大 ✅强用")),"xxx大 △弱参考"),IF(OR(AL18="🔵 全小"),IF(AN18&gt;=4,"xxx小 强·⚠️反转?",IF(AN18=3,"xxx小 强·连3期","xxx小 ✅强用")),"xxx小 △弱参考")))</f>
        <v/>
      </c>
      <c r="AQ18" s="3" t="n"/>
      <c r="AR18" s="31">
        <f>IF(OR(D18="",D17=""),"—",IF(K17="","—",IF(ISNUMBER(SEARCH("大",K17)),IF(COUNTIF(H18:J18,"&gt;=5")&gt;=2,"✅","❌"),IF(COUNTIF(H18:J18,"&gt;=5")&lt;=1,"✅","❌"))))</f>
        <v/>
      </c>
      <c r="AS18" s="31">
        <f>IF(OR(D18="",D17=""),"—",IF(T17="","—",IF(ISNUMBER(SEARCH("大",T17)),IF(COUNTIF(Q18:S18,"&gt;=5")&gt;=2,"✅","❌"),IF(COUNTIF(Q18:S18,"&gt;=5")&lt;=1,"✅","❌"))))</f>
        <v/>
      </c>
      <c r="AT18" s="31">
        <f>IF(OR(D18="",D17=""),"—",IF(AC17="","—",IF(ISNUMBER(SEARCH("大",AC17)),IF(COUNTIF(Z18:AB18,"&gt;=5")&gt;=2,"✅","❌"),IF(COUNTIF(Z18:AB18,"&gt;=5")&lt;=1,"✅","❌"))))</f>
        <v/>
      </c>
      <c r="AU18" s="31">
        <f>IF(OR(D18="",D17=""),"—",IF(AL17="","—",IF(ISNUMBER(SEARCH("大",AL17)),IF(COUNTIF(AI18:AK18,"&gt;=5")&gt;=2,"✅","❌"),IF(COUNTIF(AI18:AK18,"&gt;=5")&lt;=1,"✅","❌"))))</f>
        <v/>
      </c>
      <c r="AW18" s="36" t="n"/>
    </row>
    <row r="19" ht="18" customHeight="1">
      <c r="A19" s="16" t="n">
        <v>15</v>
      </c>
      <c r="B19" s="114" t="n"/>
      <c r="C19" s="18" t="n"/>
      <c r="D19" s="115" t="n"/>
      <c r="E19" s="115" t="n"/>
      <c r="F19" s="115" t="n"/>
      <c r="G19" s="3" t="n"/>
      <c r="H19" s="19">
        <f>IF(D19="","",VALUE(MID(TEXT(D19,"0000"),1,1)))</f>
        <v/>
      </c>
      <c r="I19" s="19">
        <f>IF(E19="","",VALUE(MID(TEXT(E19,"0000"),1,1)))</f>
        <v/>
      </c>
      <c r="J19" s="19">
        <f>IF(F19="","",VALUE(MID(TEXT(F19,"0000"),1,1)))</f>
        <v/>
      </c>
      <c r="K19" s="20">
        <f>IF(D19="","",IF(COUNTIF(H19:J19,"&gt;=5")=3,"🔴 全大",IF(COUNTIF(H19:J19,"&gt;=5")=0,"🔵 全小",IF(COUNTIF(H19:J19,"&gt;=5")=2,"▲ 偏大","▼ 偏小"))))</f>
        <v/>
      </c>
      <c r="L19" s="20">
        <f>IF(D19="","",IF((MOD(H19,2)=1)+(MOD(I19,2)=1)+(MOD(J19,2)=1)=3,"⚫ 全单",IF((MOD(H19,2)=1)+(MOD(I19,2)=1)+(MOD(J19,2)=1)=0,"🟣 全双",IF((MOD(H19,2)=1)+(MOD(I19,2)=1)+(MOD(J19,2)=1)=2,"◑ 偏单","◑ 偏双"))))</f>
        <v/>
      </c>
      <c r="M19" s="21">
        <f>IF(D19="","",IF(D18="",1,IF(ISNUMBER(SEARCH("大",K19))=ISNUMBER(SEARCH("大",K18)),M18+1,1)))</f>
        <v/>
      </c>
      <c r="N19" s="20">
        <f>IF(M19="","",IF(M19&gt;=4,"🚨 "&amp;M19&amp;"期·警惕反转",IF(M19=3,"⚠️ 3期连续","—")))</f>
        <v/>
      </c>
      <c r="O19" s="22">
        <f>IF(K19="","—",IF(ISNUMBER(SEARCH("大",K19)),IF(OR(K19="🔴 全大"),IF(M19&gt;=4,"大xxx 强·⚠️反转?",IF(M19=3,"大xxx 强·连3期","大xxx ✅强用")),"大xxx △弱参考"),IF(OR(K19="🔵 全小"),IF(M19&gt;=4,"小xxx 强·⚠️反转?",IF(M19=3,"小xxx 强·连3期","小xxx ✅强用")),"小xxx △弱参考")))</f>
        <v/>
      </c>
      <c r="P19" s="3" t="n"/>
      <c r="Q19" s="23">
        <f>IF(D19="","",VALUE(MID(TEXT(D19,"0000"),2,1)))</f>
        <v/>
      </c>
      <c r="R19" s="23">
        <f>IF(E19="","",VALUE(MID(TEXT(E19,"0000"),2,1)))</f>
        <v/>
      </c>
      <c r="S19" s="23">
        <f>IF(F19="","",VALUE(MID(TEXT(F19,"0000"),2,1)))</f>
        <v/>
      </c>
      <c r="T19" s="20">
        <f>IF(D19="","",IF(COUNTIF(Q19:S19,"&gt;=5")=3,"🔴 全大",IF(COUNTIF(Q19:S19,"&gt;=5")=0,"🔵 全小",IF(COUNTIF(Q19:S19,"&gt;=5")=2,"▲ 偏大","▼ 偏小"))))</f>
        <v/>
      </c>
      <c r="U19" s="20">
        <f>IF(D19="","",IF((MOD(Q19,2)=1)+(MOD(R19,2)=1)+(MOD(S19,2)=1)=3,"⚫ 全单",IF((MOD(Q19,2)=1)+(MOD(R19,2)=1)+(MOD(S19,2)=1)=0,"🟣 全双",IF((MOD(Q19,2)=1)+(MOD(R19,2)=1)+(MOD(S19,2)=1)=2,"◑ 偏单","◑ 偏双"))))</f>
        <v/>
      </c>
      <c r="V19" s="24">
        <f>IF(D19="","",IF(D18="",1,IF(ISNUMBER(SEARCH("大",T19))=ISNUMBER(SEARCH("大",T18)),V18+1,1)))</f>
        <v/>
      </c>
      <c r="W19" s="20">
        <f>IF(V19="","",IF(V19&gt;=4,"🚨 "&amp;V19&amp;"期·警惕反转",IF(V19=3,"⚠️ 3期连续","—")))</f>
        <v/>
      </c>
      <c r="X19" s="22">
        <f>IF(T19="","—",IF(ISNUMBER(SEARCH("大",T19)),IF(OR(T19="🔴 全大"),IF(V19&gt;=4,"x大xx 强·⚠️反转?",IF(V19=3,"x大xx 强·连3期","x大xx ✅强用")),"x大xx △弱参考"),IF(OR(T19="🔵 全小"),IF(V19&gt;=4,"x小xx 强·⚠️反转?",IF(V19=3,"x小xx 强·连3期","x小xx ✅强用")),"x小xx △弱参考")))</f>
        <v/>
      </c>
      <c r="Y19" s="3" t="n"/>
      <c r="Z19" s="25">
        <f>IF(D19="","",VALUE(MID(TEXT(D19,"0000"),3,1)))</f>
        <v/>
      </c>
      <c r="AA19" s="25">
        <f>IF(E19="","",VALUE(MID(TEXT(E19,"0000"),3,1)))</f>
        <v/>
      </c>
      <c r="AB19" s="25">
        <f>IF(F19="","",VALUE(MID(TEXT(F19,"0000"),3,1)))</f>
        <v/>
      </c>
      <c r="AC19" s="20">
        <f>IF(D19="","",IF(COUNTIF(Z19:AB19,"&gt;=5")=3,"🔴 全大",IF(COUNTIF(Z19:AB19,"&gt;=5")=0,"🔵 全小",IF(COUNTIF(Z19:AB19,"&gt;=5")=2,"▲ 偏大","▼ 偏小"))))</f>
        <v/>
      </c>
      <c r="AD19" s="20">
        <f>IF(D19="","",IF((MOD(Z19,2)=1)+(MOD(AA19,2)=1)+(MOD(AB19,2)=1)=3,"⚫ 全单",IF((MOD(Z19,2)=1)+(MOD(AA19,2)=1)+(MOD(AB19,2)=1)=0,"🟣 全双",IF((MOD(Z19,2)=1)+(MOD(AA19,2)=1)+(MOD(AB19,2)=1)=2,"◑ 偏单","◑ 偏双"))))</f>
        <v/>
      </c>
      <c r="AE19" s="26">
        <f>IF(D19="","",IF(D18="",1,IF(ISNUMBER(SEARCH("大",AC19))=ISNUMBER(SEARCH("大",AC18)),AE18+1,1)))</f>
        <v/>
      </c>
      <c r="AF19" s="20">
        <f>IF(AE19="","",IF(AE19&gt;=4,"🚨 "&amp;AE19&amp;"期·警惕反转",IF(AE19=3,"⚠️ 3期连续","—")))</f>
        <v/>
      </c>
      <c r="AG19" s="22">
        <f>IF(AC19="","—",IF(ISNUMBER(SEARCH("大",AC19)),IF(OR(AC19="🔴 全大"),IF(AE19&gt;=4,"xx大x 强·⚠️反转?",IF(AE19=3,"xx大x 强·连3期","xx大x ✅强用")),"xx大x △弱参考"),IF(OR(AC19="🔵 全小"),IF(AE19&gt;=4,"xx小x 强·⚠️反转?",IF(AE19=3,"xx小x 强·连3期","xx小x ✅强用")),"xx小x △弱参考")))</f>
        <v/>
      </c>
      <c r="AH19" s="3" t="n"/>
      <c r="AI19" s="27">
        <f>IF(D19="","",VALUE(MID(TEXT(D19,"0000"),4,1)))</f>
        <v/>
      </c>
      <c r="AJ19" s="27">
        <f>IF(E19="","",VALUE(MID(TEXT(E19,"0000"),4,1)))</f>
        <v/>
      </c>
      <c r="AK19" s="27">
        <f>IF(F19="","",VALUE(MID(TEXT(F19,"0000"),4,1)))</f>
        <v/>
      </c>
      <c r="AL19" s="20">
        <f>IF(D19="","",IF(COUNTIF(AI19:AK19,"&gt;=5")=3,"🔴 全大",IF(COUNTIF(AI19:AK19,"&gt;=5")=0,"🔵 全小",IF(COUNTIF(AI19:AK19,"&gt;=5")=2,"▲ 偏大","▼ 偏小"))))</f>
        <v/>
      </c>
      <c r="AM19" s="20">
        <f>IF(D19="","",IF((MOD(AI19,2)=1)+(MOD(AJ19,2)=1)+(MOD(AK19,2)=1)=3,"⚫ 全单",IF((MOD(AI19,2)=1)+(MOD(AJ19,2)=1)+(MOD(AK19,2)=1)=0,"🟣 全双",IF((MOD(AI19,2)=1)+(MOD(AJ19,2)=1)+(MOD(AK19,2)=1)=2,"◑ 偏单","◑ 偏双"))))</f>
        <v/>
      </c>
      <c r="AN19" s="28">
        <f>IF(D19="","",IF(D18="",1,IF(ISNUMBER(SEARCH("大",AL19))=ISNUMBER(SEARCH("大",AL18)),AN18+1,1)))</f>
        <v/>
      </c>
      <c r="AO19" s="20">
        <f>IF(AN19="","",IF(AN19&gt;=4,"🚨 "&amp;AN19&amp;"期·警惕反转",IF(AN19=3,"⚠️ 3期连续","—")))</f>
        <v/>
      </c>
      <c r="AP19" s="22">
        <f>IF(AL19="","—",IF(ISNUMBER(SEARCH("大",AL19)),IF(OR(AL19="🔴 全大"),IF(AN19&gt;=4,"xxx大 强·⚠️反转?",IF(AN19=3,"xxx大 强·连3期","xxx大 ✅强用")),"xxx大 △弱参考"),IF(OR(AL19="🔵 全小"),IF(AN19&gt;=4,"xxx小 强·⚠️反转?",IF(AN19=3,"xxx小 强·连3期","xxx小 ✅强用")),"xxx小 △弱参考")))</f>
        <v/>
      </c>
      <c r="AQ19" s="3" t="n"/>
      <c r="AR19" s="20">
        <f>IF(OR(D19="",D18=""),"—",IF(K18="","—",IF(ISNUMBER(SEARCH("大",K18)),IF(COUNTIF(H19:J19,"&gt;=5")&gt;=2,"✅","❌"),IF(COUNTIF(H19:J19,"&gt;=5")&lt;=1,"✅","❌"))))</f>
        <v/>
      </c>
      <c r="AS19" s="20">
        <f>IF(OR(D19="",D18=""),"—",IF(T18="","—",IF(ISNUMBER(SEARCH("大",T18)),IF(COUNTIF(Q19:S19,"&gt;=5")&gt;=2,"✅","❌"),IF(COUNTIF(Q19:S19,"&gt;=5")&lt;=1,"✅","❌"))))</f>
        <v/>
      </c>
      <c r="AT19" s="20">
        <f>IF(OR(D19="",D18=""),"—",IF(AC18="","—",IF(ISNUMBER(SEARCH("大",AC18)),IF(COUNTIF(Z19:AB19,"&gt;=5")&gt;=2,"✅","❌"),IF(COUNTIF(Z19:AB19,"&gt;=5")&lt;=1,"✅","❌"))))</f>
        <v/>
      </c>
      <c r="AU19" s="20">
        <f>IF(OR(D19="",D18=""),"—",IF(AL18="","—",IF(ISNUMBER(SEARCH("大",AL18)),IF(COUNTIF(AI19:AK19,"&gt;=5")&gt;=2,"✅","❌"),IF(COUNTIF(AI19:AK19,"&gt;=5")&lt;=1,"✅","❌"))))</f>
        <v/>
      </c>
      <c r="AW19" s="30" t="n"/>
    </row>
    <row r="20" ht="18" customHeight="1">
      <c r="A20" s="16" t="n">
        <v>16</v>
      </c>
      <c r="B20" s="116" t="n"/>
      <c r="C20" s="40" t="n"/>
      <c r="D20" s="117" t="n"/>
      <c r="E20" s="117" t="n"/>
      <c r="F20" s="117" t="n"/>
      <c r="G20" s="3" t="n"/>
      <c r="H20" s="19">
        <f>IF(D20="","",VALUE(MID(TEXT(D20,"0000"),1,1)))</f>
        <v/>
      </c>
      <c r="I20" s="19">
        <f>IF(E20="","",VALUE(MID(TEXT(E20,"0000"),1,1)))</f>
        <v/>
      </c>
      <c r="J20" s="19">
        <f>IF(F20="","",VALUE(MID(TEXT(F20,"0000"),1,1)))</f>
        <v/>
      </c>
      <c r="K20" s="31">
        <f>IF(D20="","",IF(COUNTIF(H20:J20,"&gt;=5")=3,"🔴 全大",IF(COUNTIF(H20:J20,"&gt;=5")=0,"🔵 全小",IF(COUNTIF(H20:J20,"&gt;=5")=2,"▲ 偏大","▼ 偏小"))))</f>
        <v/>
      </c>
      <c r="L20" s="31">
        <f>IF(D20="","",IF((MOD(H20,2)=1)+(MOD(I20,2)=1)+(MOD(J20,2)=1)=3,"⚫ 全单",IF((MOD(H20,2)=1)+(MOD(I20,2)=1)+(MOD(J20,2)=1)=0,"🟣 全双",IF((MOD(H20,2)=1)+(MOD(I20,2)=1)+(MOD(J20,2)=1)=2,"◑ 偏单","◑ 偏双"))))</f>
        <v/>
      </c>
      <c r="M20" s="32">
        <f>IF(D20="","",IF(D19="",1,IF(ISNUMBER(SEARCH("大",K20))=ISNUMBER(SEARCH("大",K19)),M19+1,1)))</f>
        <v/>
      </c>
      <c r="N20" s="31">
        <f>IF(M20="","",IF(M20&gt;=4,"🚨 "&amp;M20&amp;"期·警惕反转",IF(M20=3,"⚠️ 3期连续","—")))</f>
        <v/>
      </c>
      <c r="O20" s="22">
        <f>IF(K20="","—",IF(ISNUMBER(SEARCH("大",K20)),IF(OR(K20="🔴 全大"),IF(M20&gt;=4,"大xxx 强·⚠️反转?",IF(M20=3,"大xxx 强·连3期","大xxx ✅强用")),"大xxx △弱参考"),IF(OR(K20="🔵 全小"),IF(M20&gt;=4,"小xxx 强·⚠️反转?",IF(M20=3,"小xxx 强·连3期","小xxx ✅强用")),"小xxx △弱参考")))</f>
        <v/>
      </c>
      <c r="P20" s="3" t="n"/>
      <c r="Q20" s="23">
        <f>IF(D20="","",VALUE(MID(TEXT(D20,"0000"),2,1)))</f>
        <v/>
      </c>
      <c r="R20" s="23">
        <f>IF(E20="","",VALUE(MID(TEXT(E20,"0000"),2,1)))</f>
        <v/>
      </c>
      <c r="S20" s="23">
        <f>IF(F20="","",VALUE(MID(TEXT(F20,"0000"),2,1)))</f>
        <v/>
      </c>
      <c r="T20" s="31">
        <f>IF(D20="","",IF(COUNTIF(Q20:S20,"&gt;=5")=3,"🔴 全大",IF(COUNTIF(Q20:S20,"&gt;=5")=0,"🔵 全小",IF(COUNTIF(Q20:S20,"&gt;=5")=2,"▲ 偏大","▼ 偏小"))))</f>
        <v/>
      </c>
      <c r="U20" s="31">
        <f>IF(D20="","",IF((MOD(Q20,2)=1)+(MOD(R20,2)=1)+(MOD(S20,2)=1)=3,"⚫ 全单",IF((MOD(Q20,2)=1)+(MOD(R20,2)=1)+(MOD(S20,2)=1)=0,"🟣 全双",IF((MOD(Q20,2)=1)+(MOD(R20,2)=1)+(MOD(S20,2)=1)=2,"◑ 偏单","◑ 偏双"))))</f>
        <v/>
      </c>
      <c r="V20" s="33">
        <f>IF(D20="","",IF(D19="",1,IF(ISNUMBER(SEARCH("大",T20))=ISNUMBER(SEARCH("大",T19)),V19+1,1)))</f>
        <v/>
      </c>
      <c r="W20" s="31">
        <f>IF(V20="","",IF(V20&gt;=4,"🚨 "&amp;V20&amp;"期·警惕反转",IF(V20=3,"⚠️ 3期连续","—")))</f>
        <v/>
      </c>
      <c r="X20" s="22">
        <f>IF(T20="","—",IF(ISNUMBER(SEARCH("大",T20)),IF(OR(T20="🔴 全大"),IF(V20&gt;=4,"x大xx 强·⚠️反转?",IF(V20=3,"x大xx 强·连3期","x大xx ✅强用")),"x大xx △弱参考"),IF(OR(T20="🔵 全小"),IF(V20&gt;=4,"x小xx 强·⚠️反转?",IF(V20=3,"x小xx 强·连3期","x小xx ✅强用")),"x小xx △弱参考")))</f>
        <v/>
      </c>
      <c r="Y20" s="3" t="n"/>
      <c r="Z20" s="25">
        <f>IF(D20="","",VALUE(MID(TEXT(D20,"0000"),3,1)))</f>
        <v/>
      </c>
      <c r="AA20" s="25">
        <f>IF(E20="","",VALUE(MID(TEXT(E20,"0000"),3,1)))</f>
        <v/>
      </c>
      <c r="AB20" s="25">
        <f>IF(F20="","",VALUE(MID(TEXT(F20,"0000"),3,1)))</f>
        <v/>
      </c>
      <c r="AC20" s="31">
        <f>IF(D20="","",IF(COUNTIF(Z20:AB20,"&gt;=5")=3,"🔴 全大",IF(COUNTIF(Z20:AB20,"&gt;=5")=0,"🔵 全小",IF(COUNTIF(Z20:AB20,"&gt;=5")=2,"▲ 偏大","▼ 偏小"))))</f>
        <v/>
      </c>
      <c r="AD20" s="31">
        <f>IF(D20="","",IF((MOD(Z20,2)=1)+(MOD(AA20,2)=1)+(MOD(AB20,2)=1)=3,"⚫ 全单",IF((MOD(Z20,2)=1)+(MOD(AA20,2)=1)+(MOD(AB20,2)=1)=0,"🟣 全双",IF((MOD(Z20,2)=1)+(MOD(AA20,2)=1)+(MOD(AB20,2)=1)=2,"◑ 偏单","◑ 偏双"))))</f>
        <v/>
      </c>
      <c r="AE20" s="34">
        <f>IF(D20="","",IF(D19="",1,IF(ISNUMBER(SEARCH("大",AC20))=ISNUMBER(SEARCH("大",AC19)),AE19+1,1)))</f>
        <v/>
      </c>
      <c r="AF20" s="31">
        <f>IF(AE20="","",IF(AE20&gt;=4,"🚨 "&amp;AE20&amp;"期·警惕反转",IF(AE20=3,"⚠️ 3期连续","—")))</f>
        <v/>
      </c>
      <c r="AG20" s="22">
        <f>IF(AC20="","—",IF(ISNUMBER(SEARCH("大",AC20)),IF(OR(AC20="🔴 全大"),IF(AE20&gt;=4,"xx大x 强·⚠️反转?",IF(AE20=3,"xx大x 强·连3期","xx大x ✅强用")),"xx大x △弱参考"),IF(OR(AC20="🔵 全小"),IF(AE20&gt;=4,"xx小x 强·⚠️反转?",IF(AE20=3,"xx小x 强·连3期","xx小x ✅强用")),"xx小x △弱参考")))</f>
        <v/>
      </c>
      <c r="AH20" s="3" t="n"/>
      <c r="AI20" s="27">
        <f>IF(D20="","",VALUE(MID(TEXT(D20,"0000"),4,1)))</f>
        <v/>
      </c>
      <c r="AJ20" s="27">
        <f>IF(E20="","",VALUE(MID(TEXT(E20,"0000"),4,1)))</f>
        <v/>
      </c>
      <c r="AK20" s="27">
        <f>IF(F20="","",VALUE(MID(TEXT(F20,"0000"),4,1)))</f>
        <v/>
      </c>
      <c r="AL20" s="31">
        <f>IF(D20="","",IF(COUNTIF(AI20:AK20,"&gt;=5")=3,"🔴 全大",IF(COUNTIF(AI20:AK20,"&gt;=5")=0,"🔵 全小",IF(COUNTIF(AI20:AK20,"&gt;=5")=2,"▲ 偏大","▼ 偏小"))))</f>
        <v/>
      </c>
      <c r="AM20" s="31">
        <f>IF(D20="","",IF((MOD(AI20,2)=1)+(MOD(AJ20,2)=1)+(MOD(AK20,2)=1)=3,"⚫ 全单",IF((MOD(AI20,2)=1)+(MOD(AJ20,2)=1)+(MOD(AK20,2)=1)=0,"🟣 全双",IF((MOD(AI20,2)=1)+(MOD(AJ20,2)=1)+(MOD(AK20,2)=1)=2,"◑ 偏单","◑ 偏双"))))</f>
        <v/>
      </c>
      <c r="AN20" s="35">
        <f>IF(D20="","",IF(D19="",1,IF(ISNUMBER(SEARCH("大",AL20))=ISNUMBER(SEARCH("大",AL19)),AN19+1,1)))</f>
        <v/>
      </c>
      <c r="AO20" s="31">
        <f>IF(AN20="","",IF(AN20&gt;=4,"🚨 "&amp;AN20&amp;"期·警惕反转",IF(AN20=3,"⚠️ 3期连续","—")))</f>
        <v/>
      </c>
      <c r="AP20" s="22">
        <f>IF(AL20="","—",IF(ISNUMBER(SEARCH("大",AL20)),IF(OR(AL20="🔴 全大"),IF(AN20&gt;=4,"xxx大 强·⚠️反转?",IF(AN20=3,"xxx大 强·连3期","xxx大 ✅强用")),"xxx大 △弱参考"),IF(OR(AL20="🔵 全小"),IF(AN20&gt;=4,"xxx小 强·⚠️反转?",IF(AN20=3,"xxx小 强·连3期","xxx小 ✅强用")),"xxx小 △弱参考")))</f>
        <v/>
      </c>
      <c r="AQ20" s="3" t="n"/>
      <c r="AR20" s="31">
        <f>IF(OR(D20="",D19=""),"—",IF(K19="","—",IF(ISNUMBER(SEARCH("大",K19)),IF(COUNTIF(H20:J20,"&gt;=5")&gt;=2,"✅","❌"),IF(COUNTIF(H20:J20,"&gt;=5")&lt;=1,"✅","❌"))))</f>
        <v/>
      </c>
      <c r="AS20" s="31">
        <f>IF(OR(D20="",D19=""),"—",IF(T19="","—",IF(ISNUMBER(SEARCH("大",T19)),IF(COUNTIF(Q20:S20,"&gt;=5")&gt;=2,"✅","❌"),IF(COUNTIF(Q20:S20,"&gt;=5")&lt;=1,"✅","❌"))))</f>
        <v/>
      </c>
      <c r="AT20" s="31">
        <f>IF(OR(D20="",D19=""),"—",IF(AC19="","—",IF(ISNUMBER(SEARCH("大",AC19)),IF(COUNTIF(Z20:AB20,"&gt;=5")&gt;=2,"✅","❌"),IF(COUNTIF(Z20:AB20,"&gt;=5")&lt;=1,"✅","❌"))))</f>
        <v/>
      </c>
      <c r="AU20" s="31">
        <f>IF(OR(D20="",D19=""),"—",IF(AL19="","—",IF(ISNUMBER(SEARCH("大",AL19)),IF(COUNTIF(AI20:AK20,"&gt;=5")&gt;=2,"✅","❌"),IF(COUNTIF(AI20:AK20,"&gt;=5")&lt;=1,"✅","❌"))))</f>
        <v/>
      </c>
      <c r="AW20" s="36" t="n"/>
    </row>
    <row r="21" ht="18" customHeight="1">
      <c r="A21" s="16" t="n">
        <v>17</v>
      </c>
      <c r="B21" s="114" t="n"/>
      <c r="C21" s="18" t="n"/>
      <c r="D21" s="115" t="n"/>
      <c r="E21" s="115" t="n"/>
      <c r="F21" s="115" t="n"/>
      <c r="G21" s="3" t="n"/>
      <c r="H21" s="19">
        <f>IF(D21="","",VALUE(MID(TEXT(D21,"0000"),1,1)))</f>
        <v/>
      </c>
      <c r="I21" s="19">
        <f>IF(E21="","",VALUE(MID(TEXT(E21,"0000"),1,1)))</f>
        <v/>
      </c>
      <c r="J21" s="19">
        <f>IF(F21="","",VALUE(MID(TEXT(F21,"0000"),1,1)))</f>
        <v/>
      </c>
      <c r="K21" s="20">
        <f>IF(D21="","",IF(COUNTIF(H21:J21,"&gt;=5")=3,"🔴 全大",IF(COUNTIF(H21:J21,"&gt;=5")=0,"🔵 全小",IF(COUNTIF(H21:J21,"&gt;=5")=2,"▲ 偏大","▼ 偏小"))))</f>
        <v/>
      </c>
      <c r="L21" s="20">
        <f>IF(D21="","",IF((MOD(H21,2)=1)+(MOD(I21,2)=1)+(MOD(J21,2)=1)=3,"⚫ 全单",IF((MOD(H21,2)=1)+(MOD(I21,2)=1)+(MOD(J21,2)=1)=0,"🟣 全双",IF((MOD(H21,2)=1)+(MOD(I21,2)=1)+(MOD(J21,2)=1)=2,"◑ 偏单","◑ 偏双"))))</f>
        <v/>
      </c>
      <c r="M21" s="21">
        <f>IF(D21="","",IF(D20="",1,IF(ISNUMBER(SEARCH("大",K21))=ISNUMBER(SEARCH("大",K20)),M20+1,1)))</f>
        <v/>
      </c>
      <c r="N21" s="20">
        <f>IF(M21="","",IF(M21&gt;=4,"🚨 "&amp;M21&amp;"期·警惕反转",IF(M21=3,"⚠️ 3期连续","—")))</f>
        <v/>
      </c>
      <c r="O21" s="22">
        <f>IF(K21="","—",IF(ISNUMBER(SEARCH("大",K21)),IF(OR(K21="🔴 全大"),IF(M21&gt;=4,"大xxx 强·⚠️反转?",IF(M21=3,"大xxx 强·连3期","大xxx ✅强用")),"大xxx △弱参考"),IF(OR(K21="🔵 全小"),IF(M21&gt;=4,"小xxx 强·⚠️反转?",IF(M21=3,"小xxx 强·连3期","小xxx ✅强用")),"小xxx △弱参考")))</f>
        <v/>
      </c>
      <c r="P21" s="3" t="n"/>
      <c r="Q21" s="23">
        <f>IF(D21="","",VALUE(MID(TEXT(D21,"0000"),2,1)))</f>
        <v/>
      </c>
      <c r="R21" s="23">
        <f>IF(E21="","",VALUE(MID(TEXT(E21,"0000"),2,1)))</f>
        <v/>
      </c>
      <c r="S21" s="23">
        <f>IF(F21="","",VALUE(MID(TEXT(F21,"0000"),2,1)))</f>
        <v/>
      </c>
      <c r="T21" s="20">
        <f>IF(D21="","",IF(COUNTIF(Q21:S21,"&gt;=5")=3,"🔴 全大",IF(COUNTIF(Q21:S21,"&gt;=5")=0,"🔵 全小",IF(COUNTIF(Q21:S21,"&gt;=5")=2,"▲ 偏大","▼ 偏小"))))</f>
        <v/>
      </c>
      <c r="U21" s="20">
        <f>IF(D21="","",IF((MOD(Q21,2)=1)+(MOD(R21,2)=1)+(MOD(S21,2)=1)=3,"⚫ 全单",IF((MOD(Q21,2)=1)+(MOD(R21,2)=1)+(MOD(S21,2)=1)=0,"🟣 全双",IF((MOD(Q21,2)=1)+(MOD(R21,2)=1)+(MOD(S21,2)=1)=2,"◑ 偏单","◑ 偏双"))))</f>
        <v/>
      </c>
      <c r="V21" s="24">
        <f>IF(D21="","",IF(D20="",1,IF(ISNUMBER(SEARCH("大",T21))=ISNUMBER(SEARCH("大",T20)),V20+1,1)))</f>
        <v/>
      </c>
      <c r="W21" s="20">
        <f>IF(V21="","",IF(V21&gt;=4,"🚨 "&amp;V21&amp;"期·警惕反转",IF(V21=3,"⚠️ 3期连续","—")))</f>
        <v/>
      </c>
      <c r="X21" s="22">
        <f>IF(T21="","—",IF(ISNUMBER(SEARCH("大",T21)),IF(OR(T21="🔴 全大"),IF(V21&gt;=4,"x大xx 强·⚠️反转?",IF(V21=3,"x大xx 强·连3期","x大xx ✅强用")),"x大xx △弱参考"),IF(OR(T21="🔵 全小"),IF(V21&gt;=4,"x小xx 强·⚠️反转?",IF(V21=3,"x小xx 强·连3期","x小xx ✅强用")),"x小xx △弱参考")))</f>
        <v/>
      </c>
      <c r="Y21" s="3" t="n"/>
      <c r="Z21" s="25">
        <f>IF(D21="","",VALUE(MID(TEXT(D21,"0000"),3,1)))</f>
        <v/>
      </c>
      <c r="AA21" s="25">
        <f>IF(E21="","",VALUE(MID(TEXT(E21,"0000"),3,1)))</f>
        <v/>
      </c>
      <c r="AB21" s="25">
        <f>IF(F21="","",VALUE(MID(TEXT(F21,"0000"),3,1)))</f>
        <v/>
      </c>
      <c r="AC21" s="20">
        <f>IF(D21="","",IF(COUNTIF(Z21:AB21,"&gt;=5")=3,"🔴 全大",IF(COUNTIF(Z21:AB21,"&gt;=5")=0,"🔵 全小",IF(COUNTIF(Z21:AB21,"&gt;=5")=2,"▲ 偏大","▼ 偏小"))))</f>
        <v/>
      </c>
      <c r="AD21" s="20">
        <f>IF(D21="","",IF((MOD(Z21,2)=1)+(MOD(AA21,2)=1)+(MOD(AB21,2)=1)=3,"⚫ 全单",IF((MOD(Z21,2)=1)+(MOD(AA21,2)=1)+(MOD(AB21,2)=1)=0,"🟣 全双",IF((MOD(Z21,2)=1)+(MOD(AA21,2)=1)+(MOD(AB21,2)=1)=2,"◑ 偏单","◑ 偏双"))))</f>
        <v/>
      </c>
      <c r="AE21" s="26">
        <f>IF(D21="","",IF(D20="",1,IF(ISNUMBER(SEARCH("大",AC21))=ISNUMBER(SEARCH("大",AC20)),AE20+1,1)))</f>
        <v/>
      </c>
      <c r="AF21" s="20">
        <f>IF(AE21="","",IF(AE21&gt;=4,"🚨 "&amp;AE21&amp;"期·警惕反转",IF(AE21=3,"⚠️ 3期连续","—")))</f>
        <v/>
      </c>
      <c r="AG21" s="22">
        <f>IF(AC21="","—",IF(ISNUMBER(SEARCH("大",AC21)),IF(OR(AC21="🔴 全大"),IF(AE21&gt;=4,"xx大x 强·⚠️反转?",IF(AE21=3,"xx大x 强·连3期","xx大x ✅强用")),"xx大x △弱参考"),IF(OR(AC21="🔵 全小"),IF(AE21&gt;=4,"xx小x 强·⚠️反转?",IF(AE21=3,"xx小x 强·连3期","xx小x ✅强用")),"xx小x △弱参考")))</f>
        <v/>
      </c>
      <c r="AH21" s="3" t="n"/>
      <c r="AI21" s="27">
        <f>IF(D21="","",VALUE(MID(TEXT(D21,"0000"),4,1)))</f>
        <v/>
      </c>
      <c r="AJ21" s="27">
        <f>IF(E21="","",VALUE(MID(TEXT(E21,"0000"),4,1)))</f>
        <v/>
      </c>
      <c r="AK21" s="27">
        <f>IF(F21="","",VALUE(MID(TEXT(F21,"0000"),4,1)))</f>
        <v/>
      </c>
      <c r="AL21" s="20">
        <f>IF(D21="","",IF(COUNTIF(AI21:AK21,"&gt;=5")=3,"🔴 全大",IF(COUNTIF(AI21:AK21,"&gt;=5")=0,"🔵 全小",IF(COUNTIF(AI21:AK21,"&gt;=5")=2,"▲ 偏大","▼ 偏小"))))</f>
        <v/>
      </c>
      <c r="AM21" s="20">
        <f>IF(D21="","",IF((MOD(AI21,2)=1)+(MOD(AJ21,2)=1)+(MOD(AK21,2)=1)=3,"⚫ 全单",IF((MOD(AI21,2)=1)+(MOD(AJ21,2)=1)+(MOD(AK21,2)=1)=0,"🟣 全双",IF((MOD(AI21,2)=1)+(MOD(AJ21,2)=1)+(MOD(AK21,2)=1)=2,"◑ 偏单","◑ 偏双"))))</f>
        <v/>
      </c>
      <c r="AN21" s="28">
        <f>IF(D21="","",IF(D20="",1,IF(ISNUMBER(SEARCH("大",AL21))=ISNUMBER(SEARCH("大",AL20)),AN20+1,1)))</f>
        <v/>
      </c>
      <c r="AO21" s="20">
        <f>IF(AN21="","",IF(AN21&gt;=4,"🚨 "&amp;AN21&amp;"期·警惕反转",IF(AN21=3,"⚠️ 3期连续","—")))</f>
        <v/>
      </c>
      <c r="AP21" s="22">
        <f>IF(AL21="","—",IF(ISNUMBER(SEARCH("大",AL21)),IF(OR(AL21="🔴 全大"),IF(AN21&gt;=4,"xxx大 强·⚠️反转?",IF(AN21=3,"xxx大 强·连3期","xxx大 ✅强用")),"xxx大 △弱参考"),IF(OR(AL21="🔵 全小"),IF(AN21&gt;=4,"xxx小 强·⚠️反转?",IF(AN21=3,"xxx小 强·连3期","xxx小 ✅强用")),"xxx小 △弱参考")))</f>
        <v/>
      </c>
      <c r="AQ21" s="3" t="n"/>
      <c r="AR21" s="20">
        <f>IF(OR(D21="",D20=""),"—",IF(K20="","—",IF(ISNUMBER(SEARCH("大",K20)),IF(COUNTIF(H21:J21,"&gt;=5")&gt;=2,"✅","❌"),IF(COUNTIF(H21:J21,"&gt;=5")&lt;=1,"✅","❌"))))</f>
        <v/>
      </c>
      <c r="AS21" s="20">
        <f>IF(OR(D21="",D20=""),"—",IF(T20="","—",IF(ISNUMBER(SEARCH("大",T20)),IF(COUNTIF(Q21:S21,"&gt;=5")&gt;=2,"✅","❌"),IF(COUNTIF(Q21:S21,"&gt;=5")&lt;=1,"✅","❌"))))</f>
        <v/>
      </c>
      <c r="AT21" s="20">
        <f>IF(OR(D21="",D20=""),"—",IF(AC20="","—",IF(ISNUMBER(SEARCH("大",AC20)),IF(COUNTIF(Z21:AB21,"&gt;=5")&gt;=2,"✅","❌"),IF(COUNTIF(Z21:AB21,"&gt;=5")&lt;=1,"✅","❌"))))</f>
        <v/>
      </c>
      <c r="AU21" s="20">
        <f>IF(OR(D21="",D20=""),"—",IF(AL20="","—",IF(ISNUMBER(SEARCH("大",AL20)),IF(COUNTIF(AI21:AK21,"&gt;=5")&gt;=2,"✅","❌"),IF(COUNTIF(AI21:AK21,"&gt;=5")&lt;=1,"✅","❌"))))</f>
        <v/>
      </c>
      <c r="AW21" s="30" t="n"/>
    </row>
    <row r="22" ht="18" customHeight="1">
      <c r="A22" s="16" t="n">
        <v>18</v>
      </c>
      <c r="B22" s="116" t="n"/>
      <c r="C22" s="40" t="n"/>
      <c r="D22" s="117" t="n"/>
      <c r="E22" s="117" t="n"/>
      <c r="F22" s="117" t="n"/>
      <c r="G22" s="3" t="n"/>
      <c r="H22" s="19">
        <f>IF(D22="","",VALUE(MID(TEXT(D22,"0000"),1,1)))</f>
        <v/>
      </c>
      <c r="I22" s="19">
        <f>IF(E22="","",VALUE(MID(TEXT(E22,"0000"),1,1)))</f>
        <v/>
      </c>
      <c r="J22" s="19">
        <f>IF(F22="","",VALUE(MID(TEXT(F22,"0000"),1,1)))</f>
        <v/>
      </c>
      <c r="K22" s="31">
        <f>IF(D22="","",IF(COUNTIF(H22:J22,"&gt;=5")=3,"🔴 全大",IF(COUNTIF(H22:J22,"&gt;=5")=0,"🔵 全小",IF(COUNTIF(H22:J22,"&gt;=5")=2,"▲ 偏大","▼ 偏小"))))</f>
        <v/>
      </c>
      <c r="L22" s="31">
        <f>IF(D22="","",IF((MOD(H22,2)=1)+(MOD(I22,2)=1)+(MOD(J22,2)=1)=3,"⚫ 全单",IF((MOD(H22,2)=1)+(MOD(I22,2)=1)+(MOD(J22,2)=1)=0,"🟣 全双",IF((MOD(H22,2)=1)+(MOD(I22,2)=1)+(MOD(J22,2)=1)=2,"◑ 偏单","◑ 偏双"))))</f>
        <v/>
      </c>
      <c r="M22" s="32">
        <f>IF(D22="","",IF(D21="",1,IF(ISNUMBER(SEARCH("大",K22))=ISNUMBER(SEARCH("大",K21)),M21+1,1)))</f>
        <v/>
      </c>
      <c r="N22" s="31">
        <f>IF(M22="","",IF(M22&gt;=4,"🚨 "&amp;M22&amp;"期·警惕反转",IF(M22=3,"⚠️ 3期连续","—")))</f>
        <v/>
      </c>
      <c r="O22" s="22">
        <f>IF(K22="","—",IF(ISNUMBER(SEARCH("大",K22)),IF(OR(K22="🔴 全大"),IF(M22&gt;=4,"大xxx 强·⚠️反转?",IF(M22=3,"大xxx 强·连3期","大xxx ✅强用")),"大xxx △弱参考"),IF(OR(K22="🔵 全小"),IF(M22&gt;=4,"小xxx 强·⚠️反转?",IF(M22=3,"小xxx 强·连3期","小xxx ✅强用")),"小xxx △弱参考")))</f>
        <v/>
      </c>
      <c r="P22" s="3" t="n"/>
      <c r="Q22" s="23">
        <f>IF(D22="","",VALUE(MID(TEXT(D22,"0000"),2,1)))</f>
        <v/>
      </c>
      <c r="R22" s="23">
        <f>IF(E22="","",VALUE(MID(TEXT(E22,"0000"),2,1)))</f>
        <v/>
      </c>
      <c r="S22" s="23">
        <f>IF(F22="","",VALUE(MID(TEXT(F22,"0000"),2,1)))</f>
        <v/>
      </c>
      <c r="T22" s="31">
        <f>IF(D22="","",IF(COUNTIF(Q22:S22,"&gt;=5")=3,"🔴 全大",IF(COUNTIF(Q22:S22,"&gt;=5")=0,"🔵 全小",IF(COUNTIF(Q22:S22,"&gt;=5")=2,"▲ 偏大","▼ 偏小"))))</f>
        <v/>
      </c>
      <c r="U22" s="31">
        <f>IF(D22="","",IF((MOD(Q22,2)=1)+(MOD(R22,2)=1)+(MOD(S22,2)=1)=3,"⚫ 全单",IF((MOD(Q22,2)=1)+(MOD(R22,2)=1)+(MOD(S22,2)=1)=0,"🟣 全双",IF((MOD(Q22,2)=1)+(MOD(R22,2)=1)+(MOD(S22,2)=1)=2,"◑ 偏单","◑ 偏双"))))</f>
        <v/>
      </c>
      <c r="V22" s="33">
        <f>IF(D22="","",IF(D21="",1,IF(ISNUMBER(SEARCH("大",T22))=ISNUMBER(SEARCH("大",T21)),V21+1,1)))</f>
        <v/>
      </c>
      <c r="W22" s="31">
        <f>IF(V22="","",IF(V22&gt;=4,"🚨 "&amp;V22&amp;"期·警惕反转",IF(V22=3,"⚠️ 3期连续","—")))</f>
        <v/>
      </c>
      <c r="X22" s="22">
        <f>IF(T22="","—",IF(ISNUMBER(SEARCH("大",T22)),IF(OR(T22="🔴 全大"),IF(V22&gt;=4,"x大xx 强·⚠️反转?",IF(V22=3,"x大xx 强·连3期","x大xx ✅强用")),"x大xx △弱参考"),IF(OR(T22="🔵 全小"),IF(V22&gt;=4,"x小xx 强·⚠️反转?",IF(V22=3,"x小xx 强·连3期","x小xx ✅强用")),"x小xx △弱参考")))</f>
        <v/>
      </c>
      <c r="Y22" s="3" t="n"/>
      <c r="Z22" s="25">
        <f>IF(D22="","",VALUE(MID(TEXT(D22,"0000"),3,1)))</f>
        <v/>
      </c>
      <c r="AA22" s="25">
        <f>IF(E22="","",VALUE(MID(TEXT(E22,"0000"),3,1)))</f>
        <v/>
      </c>
      <c r="AB22" s="25">
        <f>IF(F22="","",VALUE(MID(TEXT(F22,"0000"),3,1)))</f>
        <v/>
      </c>
      <c r="AC22" s="31">
        <f>IF(D22="","",IF(COUNTIF(Z22:AB22,"&gt;=5")=3,"🔴 全大",IF(COUNTIF(Z22:AB22,"&gt;=5")=0,"🔵 全小",IF(COUNTIF(Z22:AB22,"&gt;=5")=2,"▲ 偏大","▼ 偏小"))))</f>
        <v/>
      </c>
      <c r="AD22" s="31">
        <f>IF(D22="","",IF((MOD(Z22,2)=1)+(MOD(AA22,2)=1)+(MOD(AB22,2)=1)=3,"⚫ 全单",IF((MOD(Z22,2)=1)+(MOD(AA22,2)=1)+(MOD(AB22,2)=1)=0,"🟣 全双",IF((MOD(Z22,2)=1)+(MOD(AA22,2)=1)+(MOD(AB22,2)=1)=2,"◑ 偏单","◑ 偏双"))))</f>
        <v/>
      </c>
      <c r="AE22" s="34">
        <f>IF(D22="","",IF(D21="",1,IF(ISNUMBER(SEARCH("大",AC22))=ISNUMBER(SEARCH("大",AC21)),AE21+1,1)))</f>
        <v/>
      </c>
      <c r="AF22" s="31">
        <f>IF(AE22="","",IF(AE22&gt;=4,"🚨 "&amp;AE22&amp;"期·警惕反转",IF(AE22=3,"⚠️ 3期连续","—")))</f>
        <v/>
      </c>
      <c r="AG22" s="22">
        <f>IF(AC22="","—",IF(ISNUMBER(SEARCH("大",AC22)),IF(OR(AC22="🔴 全大"),IF(AE22&gt;=4,"xx大x 强·⚠️反转?",IF(AE22=3,"xx大x 强·连3期","xx大x ✅强用")),"xx大x △弱参考"),IF(OR(AC22="🔵 全小"),IF(AE22&gt;=4,"xx小x 强·⚠️反转?",IF(AE22=3,"xx小x 强·连3期","xx小x ✅强用")),"xx小x △弱参考")))</f>
        <v/>
      </c>
      <c r="AH22" s="3" t="n"/>
      <c r="AI22" s="27">
        <f>IF(D22="","",VALUE(MID(TEXT(D22,"0000"),4,1)))</f>
        <v/>
      </c>
      <c r="AJ22" s="27">
        <f>IF(E22="","",VALUE(MID(TEXT(E22,"0000"),4,1)))</f>
        <v/>
      </c>
      <c r="AK22" s="27">
        <f>IF(F22="","",VALUE(MID(TEXT(F22,"0000"),4,1)))</f>
        <v/>
      </c>
      <c r="AL22" s="31">
        <f>IF(D22="","",IF(COUNTIF(AI22:AK22,"&gt;=5")=3,"🔴 全大",IF(COUNTIF(AI22:AK22,"&gt;=5")=0,"🔵 全小",IF(COUNTIF(AI22:AK22,"&gt;=5")=2,"▲ 偏大","▼ 偏小"))))</f>
        <v/>
      </c>
      <c r="AM22" s="31">
        <f>IF(D22="","",IF((MOD(AI22,2)=1)+(MOD(AJ22,2)=1)+(MOD(AK22,2)=1)=3,"⚫ 全单",IF((MOD(AI22,2)=1)+(MOD(AJ22,2)=1)+(MOD(AK22,2)=1)=0,"🟣 全双",IF((MOD(AI22,2)=1)+(MOD(AJ22,2)=1)+(MOD(AK22,2)=1)=2,"◑ 偏单","◑ 偏双"))))</f>
        <v/>
      </c>
      <c r="AN22" s="35">
        <f>IF(D22="","",IF(D21="",1,IF(ISNUMBER(SEARCH("大",AL22))=ISNUMBER(SEARCH("大",AL21)),AN21+1,1)))</f>
        <v/>
      </c>
      <c r="AO22" s="31">
        <f>IF(AN22="","",IF(AN22&gt;=4,"🚨 "&amp;AN22&amp;"期·警惕反转",IF(AN22=3,"⚠️ 3期连续","—")))</f>
        <v/>
      </c>
      <c r="AP22" s="22">
        <f>IF(AL22="","—",IF(ISNUMBER(SEARCH("大",AL22)),IF(OR(AL22="🔴 全大"),IF(AN22&gt;=4,"xxx大 强·⚠️反转?",IF(AN22=3,"xxx大 强·连3期","xxx大 ✅强用")),"xxx大 △弱参考"),IF(OR(AL22="🔵 全小"),IF(AN22&gt;=4,"xxx小 强·⚠️反转?",IF(AN22=3,"xxx小 强·连3期","xxx小 ✅强用")),"xxx小 △弱参考")))</f>
        <v/>
      </c>
      <c r="AQ22" s="3" t="n"/>
      <c r="AR22" s="31">
        <f>IF(OR(D22="",D21=""),"—",IF(K21="","—",IF(ISNUMBER(SEARCH("大",K21)),IF(COUNTIF(H22:J22,"&gt;=5")&gt;=2,"✅","❌"),IF(COUNTIF(H22:J22,"&gt;=5")&lt;=1,"✅","❌"))))</f>
        <v/>
      </c>
      <c r="AS22" s="31">
        <f>IF(OR(D22="",D21=""),"—",IF(T21="","—",IF(ISNUMBER(SEARCH("大",T21)),IF(COUNTIF(Q22:S22,"&gt;=5")&gt;=2,"✅","❌"),IF(COUNTIF(Q22:S22,"&gt;=5")&lt;=1,"✅","❌"))))</f>
        <v/>
      </c>
      <c r="AT22" s="31">
        <f>IF(OR(D22="",D21=""),"—",IF(AC21="","—",IF(ISNUMBER(SEARCH("大",AC21)),IF(COUNTIF(Z22:AB22,"&gt;=5")&gt;=2,"✅","❌"),IF(COUNTIF(Z22:AB22,"&gt;=5")&lt;=1,"✅","❌"))))</f>
        <v/>
      </c>
      <c r="AU22" s="31">
        <f>IF(OR(D22="",D21=""),"—",IF(AL21="","—",IF(ISNUMBER(SEARCH("大",AL21)),IF(COUNTIF(AI22:AK22,"&gt;=5")&gt;=2,"✅","❌"),IF(COUNTIF(AI22:AK22,"&gt;=5")&lt;=1,"✅","❌"))))</f>
        <v/>
      </c>
      <c r="AW22" s="36" t="n"/>
    </row>
    <row r="23" ht="18" customHeight="1">
      <c r="A23" s="16" t="n">
        <v>19</v>
      </c>
      <c r="B23" s="114" t="n"/>
      <c r="C23" s="18" t="n"/>
      <c r="D23" s="115" t="n"/>
      <c r="E23" s="115" t="n"/>
      <c r="F23" s="115" t="n"/>
      <c r="G23" s="3" t="n"/>
      <c r="H23" s="19">
        <f>IF(D23="","",VALUE(MID(TEXT(D23,"0000"),1,1)))</f>
        <v/>
      </c>
      <c r="I23" s="19">
        <f>IF(E23="","",VALUE(MID(TEXT(E23,"0000"),1,1)))</f>
        <v/>
      </c>
      <c r="J23" s="19">
        <f>IF(F23="","",VALUE(MID(TEXT(F23,"0000"),1,1)))</f>
        <v/>
      </c>
      <c r="K23" s="20">
        <f>IF(D23="","",IF(COUNTIF(H23:J23,"&gt;=5")=3,"🔴 全大",IF(COUNTIF(H23:J23,"&gt;=5")=0,"🔵 全小",IF(COUNTIF(H23:J23,"&gt;=5")=2,"▲ 偏大","▼ 偏小"))))</f>
        <v/>
      </c>
      <c r="L23" s="20">
        <f>IF(D23="","",IF((MOD(H23,2)=1)+(MOD(I23,2)=1)+(MOD(J23,2)=1)=3,"⚫ 全单",IF((MOD(H23,2)=1)+(MOD(I23,2)=1)+(MOD(J23,2)=1)=0,"🟣 全双",IF((MOD(H23,2)=1)+(MOD(I23,2)=1)+(MOD(J23,2)=1)=2,"◑ 偏单","◑ 偏双"))))</f>
        <v/>
      </c>
      <c r="M23" s="21">
        <f>IF(D23="","",IF(D22="",1,IF(ISNUMBER(SEARCH("大",K23))=ISNUMBER(SEARCH("大",K22)),M22+1,1)))</f>
        <v/>
      </c>
      <c r="N23" s="20">
        <f>IF(M23="","",IF(M23&gt;=4,"🚨 "&amp;M23&amp;"期·警惕反转",IF(M23=3,"⚠️ 3期连续","—")))</f>
        <v/>
      </c>
      <c r="O23" s="22">
        <f>IF(K23="","—",IF(ISNUMBER(SEARCH("大",K23)),IF(OR(K23="🔴 全大"),IF(M23&gt;=4,"大xxx 强·⚠️反转?",IF(M23=3,"大xxx 强·连3期","大xxx ✅强用")),"大xxx △弱参考"),IF(OR(K23="🔵 全小"),IF(M23&gt;=4,"小xxx 强·⚠️反转?",IF(M23=3,"小xxx 强·连3期","小xxx ✅强用")),"小xxx △弱参考")))</f>
        <v/>
      </c>
      <c r="P23" s="3" t="n"/>
      <c r="Q23" s="23">
        <f>IF(D23="","",VALUE(MID(TEXT(D23,"0000"),2,1)))</f>
        <v/>
      </c>
      <c r="R23" s="23">
        <f>IF(E23="","",VALUE(MID(TEXT(E23,"0000"),2,1)))</f>
        <v/>
      </c>
      <c r="S23" s="23">
        <f>IF(F23="","",VALUE(MID(TEXT(F23,"0000"),2,1)))</f>
        <v/>
      </c>
      <c r="T23" s="20">
        <f>IF(D23="","",IF(COUNTIF(Q23:S23,"&gt;=5")=3,"🔴 全大",IF(COUNTIF(Q23:S23,"&gt;=5")=0,"🔵 全小",IF(COUNTIF(Q23:S23,"&gt;=5")=2,"▲ 偏大","▼ 偏小"))))</f>
        <v/>
      </c>
      <c r="U23" s="20">
        <f>IF(D23="","",IF((MOD(Q23,2)=1)+(MOD(R23,2)=1)+(MOD(S23,2)=1)=3,"⚫ 全单",IF((MOD(Q23,2)=1)+(MOD(R23,2)=1)+(MOD(S23,2)=1)=0,"🟣 全双",IF((MOD(Q23,2)=1)+(MOD(R23,2)=1)+(MOD(S23,2)=1)=2,"◑ 偏单","◑ 偏双"))))</f>
        <v/>
      </c>
      <c r="V23" s="24">
        <f>IF(D23="","",IF(D22="",1,IF(ISNUMBER(SEARCH("大",T23))=ISNUMBER(SEARCH("大",T22)),V22+1,1)))</f>
        <v/>
      </c>
      <c r="W23" s="20">
        <f>IF(V23="","",IF(V23&gt;=4,"🚨 "&amp;V23&amp;"期·警惕反转",IF(V23=3,"⚠️ 3期连续","—")))</f>
        <v/>
      </c>
      <c r="X23" s="22">
        <f>IF(T23="","—",IF(ISNUMBER(SEARCH("大",T23)),IF(OR(T23="🔴 全大"),IF(V23&gt;=4,"x大xx 强·⚠️反转?",IF(V23=3,"x大xx 强·连3期","x大xx ✅强用")),"x大xx △弱参考"),IF(OR(T23="🔵 全小"),IF(V23&gt;=4,"x小xx 强·⚠️反转?",IF(V23=3,"x小xx 强·连3期","x小xx ✅强用")),"x小xx △弱参考")))</f>
        <v/>
      </c>
      <c r="Y23" s="3" t="n"/>
      <c r="Z23" s="25">
        <f>IF(D23="","",VALUE(MID(TEXT(D23,"0000"),3,1)))</f>
        <v/>
      </c>
      <c r="AA23" s="25">
        <f>IF(E23="","",VALUE(MID(TEXT(E23,"0000"),3,1)))</f>
        <v/>
      </c>
      <c r="AB23" s="25">
        <f>IF(F23="","",VALUE(MID(TEXT(F23,"0000"),3,1)))</f>
        <v/>
      </c>
      <c r="AC23" s="20">
        <f>IF(D23="","",IF(COUNTIF(Z23:AB23,"&gt;=5")=3,"🔴 全大",IF(COUNTIF(Z23:AB23,"&gt;=5")=0,"🔵 全小",IF(COUNTIF(Z23:AB23,"&gt;=5")=2,"▲ 偏大","▼ 偏小"))))</f>
        <v/>
      </c>
      <c r="AD23" s="20">
        <f>IF(D23="","",IF((MOD(Z23,2)=1)+(MOD(AA23,2)=1)+(MOD(AB23,2)=1)=3,"⚫ 全单",IF((MOD(Z23,2)=1)+(MOD(AA23,2)=1)+(MOD(AB23,2)=1)=0,"🟣 全双",IF((MOD(Z23,2)=1)+(MOD(AA23,2)=1)+(MOD(AB23,2)=1)=2,"◑ 偏单","◑ 偏双"))))</f>
        <v/>
      </c>
      <c r="AE23" s="26">
        <f>IF(D23="","",IF(D22="",1,IF(ISNUMBER(SEARCH("大",AC23))=ISNUMBER(SEARCH("大",AC22)),AE22+1,1)))</f>
        <v/>
      </c>
      <c r="AF23" s="20">
        <f>IF(AE23="","",IF(AE23&gt;=4,"🚨 "&amp;AE23&amp;"期·警惕反转",IF(AE23=3,"⚠️ 3期连续","—")))</f>
        <v/>
      </c>
      <c r="AG23" s="22">
        <f>IF(AC23="","—",IF(ISNUMBER(SEARCH("大",AC23)),IF(OR(AC23="🔴 全大"),IF(AE23&gt;=4,"xx大x 强·⚠️反转?",IF(AE23=3,"xx大x 强·连3期","xx大x ✅强用")),"xx大x △弱参考"),IF(OR(AC23="🔵 全小"),IF(AE23&gt;=4,"xx小x 强·⚠️反转?",IF(AE23=3,"xx小x 强·连3期","xx小x ✅强用")),"xx小x △弱参考")))</f>
        <v/>
      </c>
      <c r="AH23" s="3" t="n"/>
      <c r="AI23" s="27">
        <f>IF(D23="","",VALUE(MID(TEXT(D23,"0000"),4,1)))</f>
        <v/>
      </c>
      <c r="AJ23" s="27">
        <f>IF(E23="","",VALUE(MID(TEXT(E23,"0000"),4,1)))</f>
        <v/>
      </c>
      <c r="AK23" s="27">
        <f>IF(F23="","",VALUE(MID(TEXT(F23,"0000"),4,1)))</f>
        <v/>
      </c>
      <c r="AL23" s="20">
        <f>IF(D23="","",IF(COUNTIF(AI23:AK23,"&gt;=5")=3,"🔴 全大",IF(COUNTIF(AI23:AK23,"&gt;=5")=0,"🔵 全小",IF(COUNTIF(AI23:AK23,"&gt;=5")=2,"▲ 偏大","▼ 偏小"))))</f>
        <v/>
      </c>
      <c r="AM23" s="20">
        <f>IF(D23="","",IF((MOD(AI23,2)=1)+(MOD(AJ23,2)=1)+(MOD(AK23,2)=1)=3,"⚫ 全单",IF((MOD(AI23,2)=1)+(MOD(AJ23,2)=1)+(MOD(AK23,2)=1)=0,"🟣 全双",IF((MOD(AI23,2)=1)+(MOD(AJ23,2)=1)+(MOD(AK23,2)=1)=2,"◑ 偏单","◑ 偏双"))))</f>
        <v/>
      </c>
      <c r="AN23" s="28">
        <f>IF(D23="","",IF(D22="",1,IF(ISNUMBER(SEARCH("大",AL23))=ISNUMBER(SEARCH("大",AL22)),AN22+1,1)))</f>
        <v/>
      </c>
      <c r="AO23" s="20">
        <f>IF(AN23="","",IF(AN23&gt;=4,"🚨 "&amp;AN23&amp;"期·警惕反转",IF(AN23=3,"⚠️ 3期连续","—")))</f>
        <v/>
      </c>
      <c r="AP23" s="22">
        <f>IF(AL23="","—",IF(ISNUMBER(SEARCH("大",AL23)),IF(OR(AL23="🔴 全大"),IF(AN23&gt;=4,"xxx大 强·⚠️反转?",IF(AN23=3,"xxx大 强·连3期","xxx大 ✅强用")),"xxx大 △弱参考"),IF(OR(AL23="🔵 全小"),IF(AN23&gt;=4,"xxx小 强·⚠️反转?",IF(AN23=3,"xxx小 强·连3期","xxx小 ✅强用")),"xxx小 △弱参考")))</f>
        <v/>
      </c>
      <c r="AQ23" s="3" t="n"/>
      <c r="AR23" s="20">
        <f>IF(OR(D23="",D22=""),"—",IF(K22="","—",IF(ISNUMBER(SEARCH("大",K22)),IF(COUNTIF(H23:J23,"&gt;=5")&gt;=2,"✅","❌"),IF(COUNTIF(H23:J23,"&gt;=5")&lt;=1,"✅","❌"))))</f>
        <v/>
      </c>
      <c r="AS23" s="20">
        <f>IF(OR(D23="",D22=""),"—",IF(T22="","—",IF(ISNUMBER(SEARCH("大",T22)),IF(COUNTIF(Q23:S23,"&gt;=5")&gt;=2,"✅","❌"),IF(COUNTIF(Q23:S23,"&gt;=5")&lt;=1,"✅","❌"))))</f>
        <v/>
      </c>
      <c r="AT23" s="20">
        <f>IF(OR(D23="",D22=""),"—",IF(AC22="","—",IF(ISNUMBER(SEARCH("大",AC22)),IF(COUNTIF(Z23:AB23,"&gt;=5")&gt;=2,"✅","❌"),IF(COUNTIF(Z23:AB23,"&gt;=5")&lt;=1,"✅","❌"))))</f>
        <v/>
      </c>
      <c r="AU23" s="20">
        <f>IF(OR(D23="",D22=""),"—",IF(AL22="","—",IF(ISNUMBER(SEARCH("大",AL22)),IF(COUNTIF(AI23:AK23,"&gt;=5")&gt;=2,"✅","❌"),IF(COUNTIF(AI23:AK23,"&gt;=5")&lt;=1,"✅","❌"))))</f>
        <v/>
      </c>
      <c r="AW23" s="30" t="n"/>
    </row>
    <row r="24" ht="18" customHeight="1">
      <c r="A24" s="16" t="n">
        <v>20</v>
      </c>
      <c r="B24" s="116" t="n"/>
      <c r="C24" s="40" t="n"/>
      <c r="D24" s="117" t="n"/>
      <c r="E24" s="117" t="n"/>
      <c r="F24" s="117" t="n"/>
      <c r="G24" s="3" t="n"/>
      <c r="H24" s="19">
        <f>IF(D24="","",VALUE(MID(TEXT(D24,"0000"),1,1)))</f>
        <v/>
      </c>
      <c r="I24" s="19">
        <f>IF(E24="","",VALUE(MID(TEXT(E24,"0000"),1,1)))</f>
        <v/>
      </c>
      <c r="J24" s="19">
        <f>IF(F24="","",VALUE(MID(TEXT(F24,"0000"),1,1)))</f>
        <v/>
      </c>
      <c r="K24" s="31">
        <f>IF(D24="","",IF(COUNTIF(H24:J24,"&gt;=5")=3,"🔴 全大",IF(COUNTIF(H24:J24,"&gt;=5")=0,"🔵 全小",IF(COUNTIF(H24:J24,"&gt;=5")=2,"▲ 偏大","▼ 偏小"))))</f>
        <v/>
      </c>
      <c r="L24" s="31">
        <f>IF(D24="","",IF((MOD(H24,2)=1)+(MOD(I24,2)=1)+(MOD(J24,2)=1)=3,"⚫ 全单",IF((MOD(H24,2)=1)+(MOD(I24,2)=1)+(MOD(J24,2)=1)=0,"🟣 全双",IF((MOD(H24,2)=1)+(MOD(I24,2)=1)+(MOD(J24,2)=1)=2,"◑ 偏单","◑ 偏双"))))</f>
        <v/>
      </c>
      <c r="M24" s="32">
        <f>IF(D24="","",IF(D23="",1,IF(ISNUMBER(SEARCH("大",K24))=ISNUMBER(SEARCH("大",K23)),M23+1,1)))</f>
        <v/>
      </c>
      <c r="N24" s="31">
        <f>IF(M24="","",IF(M24&gt;=4,"🚨 "&amp;M24&amp;"期·警惕反转",IF(M24=3,"⚠️ 3期连续","—")))</f>
        <v/>
      </c>
      <c r="O24" s="22">
        <f>IF(K24="","—",IF(ISNUMBER(SEARCH("大",K24)),IF(OR(K24="🔴 全大"),IF(M24&gt;=4,"大xxx 强·⚠️反转?",IF(M24=3,"大xxx 强·连3期","大xxx ✅强用")),"大xxx △弱参考"),IF(OR(K24="🔵 全小"),IF(M24&gt;=4,"小xxx 强·⚠️反转?",IF(M24=3,"小xxx 强·连3期","小xxx ✅强用")),"小xxx △弱参考")))</f>
        <v/>
      </c>
      <c r="P24" s="3" t="n"/>
      <c r="Q24" s="23">
        <f>IF(D24="","",VALUE(MID(TEXT(D24,"0000"),2,1)))</f>
        <v/>
      </c>
      <c r="R24" s="23">
        <f>IF(E24="","",VALUE(MID(TEXT(E24,"0000"),2,1)))</f>
        <v/>
      </c>
      <c r="S24" s="23">
        <f>IF(F24="","",VALUE(MID(TEXT(F24,"0000"),2,1)))</f>
        <v/>
      </c>
      <c r="T24" s="31">
        <f>IF(D24="","",IF(COUNTIF(Q24:S24,"&gt;=5")=3,"🔴 全大",IF(COUNTIF(Q24:S24,"&gt;=5")=0,"🔵 全小",IF(COUNTIF(Q24:S24,"&gt;=5")=2,"▲ 偏大","▼ 偏小"))))</f>
        <v/>
      </c>
      <c r="U24" s="31">
        <f>IF(D24="","",IF((MOD(Q24,2)=1)+(MOD(R24,2)=1)+(MOD(S24,2)=1)=3,"⚫ 全单",IF((MOD(Q24,2)=1)+(MOD(R24,2)=1)+(MOD(S24,2)=1)=0,"🟣 全双",IF((MOD(Q24,2)=1)+(MOD(R24,2)=1)+(MOD(S24,2)=1)=2,"◑ 偏单","◑ 偏双"))))</f>
        <v/>
      </c>
      <c r="V24" s="33">
        <f>IF(D24="","",IF(D23="",1,IF(ISNUMBER(SEARCH("大",T24))=ISNUMBER(SEARCH("大",T23)),V23+1,1)))</f>
        <v/>
      </c>
      <c r="W24" s="31">
        <f>IF(V24="","",IF(V24&gt;=4,"🚨 "&amp;V24&amp;"期·警惕反转",IF(V24=3,"⚠️ 3期连续","—")))</f>
        <v/>
      </c>
      <c r="X24" s="22">
        <f>IF(T24="","—",IF(ISNUMBER(SEARCH("大",T24)),IF(OR(T24="🔴 全大"),IF(V24&gt;=4,"x大xx 强·⚠️反转?",IF(V24=3,"x大xx 强·连3期","x大xx ✅强用")),"x大xx △弱参考"),IF(OR(T24="🔵 全小"),IF(V24&gt;=4,"x小xx 强·⚠️反转?",IF(V24=3,"x小xx 强·连3期","x小xx ✅强用")),"x小xx △弱参考")))</f>
        <v/>
      </c>
      <c r="Y24" s="3" t="n"/>
      <c r="Z24" s="25">
        <f>IF(D24="","",VALUE(MID(TEXT(D24,"0000"),3,1)))</f>
        <v/>
      </c>
      <c r="AA24" s="25">
        <f>IF(E24="","",VALUE(MID(TEXT(E24,"0000"),3,1)))</f>
        <v/>
      </c>
      <c r="AB24" s="25">
        <f>IF(F24="","",VALUE(MID(TEXT(F24,"0000"),3,1)))</f>
        <v/>
      </c>
      <c r="AC24" s="31">
        <f>IF(D24="","",IF(COUNTIF(Z24:AB24,"&gt;=5")=3,"🔴 全大",IF(COUNTIF(Z24:AB24,"&gt;=5")=0,"🔵 全小",IF(COUNTIF(Z24:AB24,"&gt;=5")=2,"▲ 偏大","▼ 偏小"))))</f>
        <v/>
      </c>
      <c r="AD24" s="31">
        <f>IF(D24="","",IF((MOD(Z24,2)=1)+(MOD(AA24,2)=1)+(MOD(AB24,2)=1)=3,"⚫ 全单",IF((MOD(Z24,2)=1)+(MOD(AA24,2)=1)+(MOD(AB24,2)=1)=0,"🟣 全双",IF((MOD(Z24,2)=1)+(MOD(AA24,2)=1)+(MOD(AB24,2)=1)=2,"◑ 偏单","◑ 偏双"))))</f>
        <v/>
      </c>
      <c r="AE24" s="34">
        <f>IF(D24="","",IF(D23="",1,IF(ISNUMBER(SEARCH("大",AC24))=ISNUMBER(SEARCH("大",AC23)),AE23+1,1)))</f>
        <v/>
      </c>
      <c r="AF24" s="31">
        <f>IF(AE24="","",IF(AE24&gt;=4,"🚨 "&amp;AE24&amp;"期·警惕反转",IF(AE24=3,"⚠️ 3期连续","—")))</f>
        <v/>
      </c>
      <c r="AG24" s="22">
        <f>IF(AC24="","—",IF(ISNUMBER(SEARCH("大",AC24)),IF(OR(AC24="🔴 全大"),IF(AE24&gt;=4,"xx大x 强·⚠️反转?",IF(AE24=3,"xx大x 强·连3期","xx大x ✅强用")),"xx大x △弱参考"),IF(OR(AC24="🔵 全小"),IF(AE24&gt;=4,"xx小x 强·⚠️反转?",IF(AE24=3,"xx小x 强·连3期","xx小x ✅强用")),"xx小x △弱参考")))</f>
        <v/>
      </c>
      <c r="AH24" s="3" t="n"/>
      <c r="AI24" s="27">
        <f>IF(D24="","",VALUE(MID(TEXT(D24,"0000"),4,1)))</f>
        <v/>
      </c>
      <c r="AJ24" s="27">
        <f>IF(E24="","",VALUE(MID(TEXT(E24,"0000"),4,1)))</f>
        <v/>
      </c>
      <c r="AK24" s="27">
        <f>IF(F24="","",VALUE(MID(TEXT(F24,"0000"),4,1)))</f>
        <v/>
      </c>
      <c r="AL24" s="31">
        <f>IF(D24="","",IF(COUNTIF(AI24:AK24,"&gt;=5")=3,"🔴 全大",IF(COUNTIF(AI24:AK24,"&gt;=5")=0,"🔵 全小",IF(COUNTIF(AI24:AK24,"&gt;=5")=2,"▲ 偏大","▼ 偏小"))))</f>
        <v/>
      </c>
      <c r="AM24" s="31">
        <f>IF(D24="","",IF((MOD(AI24,2)=1)+(MOD(AJ24,2)=1)+(MOD(AK24,2)=1)=3,"⚫ 全单",IF((MOD(AI24,2)=1)+(MOD(AJ24,2)=1)+(MOD(AK24,2)=1)=0,"🟣 全双",IF((MOD(AI24,2)=1)+(MOD(AJ24,2)=1)+(MOD(AK24,2)=1)=2,"◑ 偏单","◑ 偏双"))))</f>
        <v/>
      </c>
      <c r="AN24" s="35">
        <f>IF(D24="","",IF(D23="",1,IF(ISNUMBER(SEARCH("大",AL24))=ISNUMBER(SEARCH("大",AL23)),AN23+1,1)))</f>
        <v/>
      </c>
      <c r="AO24" s="31">
        <f>IF(AN24="","",IF(AN24&gt;=4,"🚨 "&amp;AN24&amp;"期·警惕反转",IF(AN24=3,"⚠️ 3期连续","—")))</f>
        <v/>
      </c>
      <c r="AP24" s="22">
        <f>IF(AL24="","—",IF(ISNUMBER(SEARCH("大",AL24)),IF(OR(AL24="🔴 全大"),IF(AN24&gt;=4,"xxx大 强·⚠️反转?",IF(AN24=3,"xxx大 强·连3期","xxx大 ✅强用")),"xxx大 △弱参考"),IF(OR(AL24="🔵 全小"),IF(AN24&gt;=4,"xxx小 强·⚠️反转?",IF(AN24=3,"xxx小 强·连3期","xxx小 ✅强用")),"xxx小 △弱参考")))</f>
        <v/>
      </c>
      <c r="AQ24" s="3" t="n"/>
      <c r="AR24" s="31">
        <f>IF(OR(D24="",D23=""),"—",IF(K23="","—",IF(ISNUMBER(SEARCH("大",K23)),IF(COUNTIF(H24:J24,"&gt;=5")&gt;=2,"✅","❌"),IF(COUNTIF(H24:J24,"&gt;=5")&lt;=1,"✅","❌"))))</f>
        <v/>
      </c>
      <c r="AS24" s="31">
        <f>IF(OR(D24="",D23=""),"—",IF(T23="","—",IF(ISNUMBER(SEARCH("大",T23)),IF(COUNTIF(Q24:S24,"&gt;=5")&gt;=2,"✅","❌"),IF(COUNTIF(Q24:S24,"&gt;=5")&lt;=1,"✅","❌"))))</f>
        <v/>
      </c>
      <c r="AT24" s="31">
        <f>IF(OR(D24="",D23=""),"—",IF(AC23="","—",IF(ISNUMBER(SEARCH("大",AC23)),IF(COUNTIF(Z24:AB24,"&gt;=5")&gt;=2,"✅","❌"),IF(COUNTIF(Z24:AB24,"&gt;=5")&lt;=1,"✅","❌"))))</f>
        <v/>
      </c>
      <c r="AU24" s="31">
        <f>IF(OR(D24="",D23=""),"—",IF(AL23="","—",IF(ISNUMBER(SEARCH("大",AL23)),IF(COUNTIF(AI24:AK24,"&gt;=5")&gt;=2,"✅","❌"),IF(COUNTIF(AI24:AK24,"&gt;=5")&lt;=1,"✅","❌"))))</f>
        <v/>
      </c>
      <c r="AW24" s="36" t="n"/>
    </row>
    <row r="25" ht="18" customHeight="1">
      <c r="A25" s="16" t="n">
        <v>21</v>
      </c>
      <c r="B25" s="114" t="n"/>
      <c r="C25" s="18" t="n"/>
      <c r="D25" s="115" t="n"/>
      <c r="E25" s="115" t="n"/>
      <c r="F25" s="115" t="n"/>
      <c r="G25" s="3" t="n"/>
      <c r="H25" s="19">
        <f>IF(D25="","",VALUE(MID(TEXT(D25,"0000"),1,1)))</f>
        <v/>
      </c>
      <c r="I25" s="19">
        <f>IF(E25="","",VALUE(MID(TEXT(E25,"0000"),1,1)))</f>
        <v/>
      </c>
      <c r="J25" s="19">
        <f>IF(F25="","",VALUE(MID(TEXT(F25,"0000"),1,1)))</f>
        <v/>
      </c>
      <c r="K25" s="20">
        <f>IF(D25="","",IF(COUNTIF(H25:J25,"&gt;=5")=3,"🔴 全大",IF(COUNTIF(H25:J25,"&gt;=5")=0,"🔵 全小",IF(COUNTIF(H25:J25,"&gt;=5")=2,"▲ 偏大","▼ 偏小"))))</f>
        <v/>
      </c>
      <c r="L25" s="20">
        <f>IF(D25="","",IF((MOD(H25,2)=1)+(MOD(I25,2)=1)+(MOD(J25,2)=1)=3,"⚫ 全单",IF((MOD(H25,2)=1)+(MOD(I25,2)=1)+(MOD(J25,2)=1)=0,"🟣 全双",IF((MOD(H25,2)=1)+(MOD(I25,2)=1)+(MOD(J25,2)=1)=2,"◑ 偏单","◑ 偏双"))))</f>
        <v/>
      </c>
      <c r="M25" s="21">
        <f>IF(D25="","",IF(D24="",1,IF(ISNUMBER(SEARCH("大",K25))=ISNUMBER(SEARCH("大",K24)),M24+1,1)))</f>
        <v/>
      </c>
      <c r="N25" s="20">
        <f>IF(M25="","",IF(M25&gt;=4,"🚨 "&amp;M25&amp;"期·警惕反转",IF(M25=3,"⚠️ 3期连续","—")))</f>
        <v/>
      </c>
      <c r="O25" s="22">
        <f>IF(K25="","—",IF(ISNUMBER(SEARCH("大",K25)),IF(OR(K25="🔴 全大"),IF(M25&gt;=4,"大xxx 强·⚠️反转?",IF(M25=3,"大xxx 强·连3期","大xxx ✅强用")),"大xxx △弱参考"),IF(OR(K25="🔵 全小"),IF(M25&gt;=4,"小xxx 强·⚠️反转?",IF(M25=3,"小xxx 强·连3期","小xxx ✅强用")),"小xxx △弱参考")))</f>
        <v/>
      </c>
      <c r="P25" s="3" t="n"/>
      <c r="Q25" s="23">
        <f>IF(D25="","",VALUE(MID(TEXT(D25,"0000"),2,1)))</f>
        <v/>
      </c>
      <c r="R25" s="23">
        <f>IF(E25="","",VALUE(MID(TEXT(E25,"0000"),2,1)))</f>
        <v/>
      </c>
      <c r="S25" s="23">
        <f>IF(F25="","",VALUE(MID(TEXT(F25,"0000"),2,1)))</f>
        <v/>
      </c>
      <c r="T25" s="20">
        <f>IF(D25="","",IF(COUNTIF(Q25:S25,"&gt;=5")=3,"🔴 全大",IF(COUNTIF(Q25:S25,"&gt;=5")=0,"🔵 全小",IF(COUNTIF(Q25:S25,"&gt;=5")=2,"▲ 偏大","▼ 偏小"))))</f>
        <v/>
      </c>
      <c r="U25" s="20">
        <f>IF(D25="","",IF((MOD(Q25,2)=1)+(MOD(R25,2)=1)+(MOD(S25,2)=1)=3,"⚫ 全单",IF((MOD(Q25,2)=1)+(MOD(R25,2)=1)+(MOD(S25,2)=1)=0,"🟣 全双",IF((MOD(Q25,2)=1)+(MOD(R25,2)=1)+(MOD(S25,2)=1)=2,"◑ 偏单","◑ 偏双"))))</f>
        <v/>
      </c>
      <c r="V25" s="24">
        <f>IF(D25="","",IF(D24="",1,IF(ISNUMBER(SEARCH("大",T25))=ISNUMBER(SEARCH("大",T24)),V24+1,1)))</f>
        <v/>
      </c>
      <c r="W25" s="20">
        <f>IF(V25="","",IF(V25&gt;=4,"🚨 "&amp;V25&amp;"期·警惕反转",IF(V25=3,"⚠️ 3期连续","—")))</f>
        <v/>
      </c>
      <c r="X25" s="22">
        <f>IF(T25="","—",IF(ISNUMBER(SEARCH("大",T25)),IF(OR(T25="🔴 全大"),IF(V25&gt;=4,"x大xx 强·⚠️反转?",IF(V25=3,"x大xx 强·连3期","x大xx ✅强用")),"x大xx △弱参考"),IF(OR(T25="🔵 全小"),IF(V25&gt;=4,"x小xx 强·⚠️反转?",IF(V25=3,"x小xx 强·连3期","x小xx ✅强用")),"x小xx △弱参考")))</f>
        <v/>
      </c>
      <c r="Y25" s="3" t="n"/>
      <c r="Z25" s="25">
        <f>IF(D25="","",VALUE(MID(TEXT(D25,"0000"),3,1)))</f>
        <v/>
      </c>
      <c r="AA25" s="25">
        <f>IF(E25="","",VALUE(MID(TEXT(E25,"0000"),3,1)))</f>
        <v/>
      </c>
      <c r="AB25" s="25">
        <f>IF(F25="","",VALUE(MID(TEXT(F25,"0000"),3,1)))</f>
        <v/>
      </c>
      <c r="AC25" s="20">
        <f>IF(D25="","",IF(COUNTIF(Z25:AB25,"&gt;=5")=3,"🔴 全大",IF(COUNTIF(Z25:AB25,"&gt;=5")=0,"🔵 全小",IF(COUNTIF(Z25:AB25,"&gt;=5")=2,"▲ 偏大","▼ 偏小"))))</f>
        <v/>
      </c>
      <c r="AD25" s="20">
        <f>IF(D25="","",IF((MOD(Z25,2)=1)+(MOD(AA25,2)=1)+(MOD(AB25,2)=1)=3,"⚫ 全单",IF((MOD(Z25,2)=1)+(MOD(AA25,2)=1)+(MOD(AB25,2)=1)=0,"🟣 全双",IF((MOD(Z25,2)=1)+(MOD(AA25,2)=1)+(MOD(AB25,2)=1)=2,"◑ 偏单","◑ 偏双"))))</f>
        <v/>
      </c>
      <c r="AE25" s="26">
        <f>IF(D25="","",IF(D24="",1,IF(ISNUMBER(SEARCH("大",AC25))=ISNUMBER(SEARCH("大",AC24)),AE24+1,1)))</f>
        <v/>
      </c>
      <c r="AF25" s="20">
        <f>IF(AE25="","",IF(AE25&gt;=4,"🚨 "&amp;AE25&amp;"期·警惕反转",IF(AE25=3,"⚠️ 3期连续","—")))</f>
        <v/>
      </c>
      <c r="AG25" s="22">
        <f>IF(AC25="","—",IF(ISNUMBER(SEARCH("大",AC25)),IF(OR(AC25="🔴 全大"),IF(AE25&gt;=4,"xx大x 强·⚠️反转?",IF(AE25=3,"xx大x 强·连3期","xx大x ✅强用")),"xx大x △弱参考"),IF(OR(AC25="🔵 全小"),IF(AE25&gt;=4,"xx小x 强·⚠️反转?",IF(AE25=3,"xx小x 强·连3期","xx小x ✅强用")),"xx小x △弱参考")))</f>
        <v/>
      </c>
      <c r="AH25" s="3" t="n"/>
      <c r="AI25" s="27">
        <f>IF(D25="","",VALUE(MID(TEXT(D25,"0000"),4,1)))</f>
        <v/>
      </c>
      <c r="AJ25" s="27">
        <f>IF(E25="","",VALUE(MID(TEXT(E25,"0000"),4,1)))</f>
        <v/>
      </c>
      <c r="AK25" s="27">
        <f>IF(F25="","",VALUE(MID(TEXT(F25,"0000"),4,1)))</f>
        <v/>
      </c>
      <c r="AL25" s="20">
        <f>IF(D25="","",IF(COUNTIF(AI25:AK25,"&gt;=5")=3,"🔴 全大",IF(COUNTIF(AI25:AK25,"&gt;=5")=0,"🔵 全小",IF(COUNTIF(AI25:AK25,"&gt;=5")=2,"▲ 偏大","▼ 偏小"))))</f>
        <v/>
      </c>
      <c r="AM25" s="20">
        <f>IF(D25="","",IF((MOD(AI25,2)=1)+(MOD(AJ25,2)=1)+(MOD(AK25,2)=1)=3,"⚫ 全单",IF((MOD(AI25,2)=1)+(MOD(AJ25,2)=1)+(MOD(AK25,2)=1)=0,"🟣 全双",IF((MOD(AI25,2)=1)+(MOD(AJ25,2)=1)+(MOD(AK25,2)=1)=2,"◑ 偏单","◑ 偏双"))))</f>
        <v/>
      </c>
      <c r="AN25" s="28">
        <f>IF(D25="","",IF(D24="",1,IF(ISNUMBER(SEARCH("大",AL25))=ISNUMBER(SEARCH("大",AL24)),AN24+1,1)))</f>
        <v/>
      </c>
      <c r="AO25" s="20">
        <f>IF(AN25="","",IF(AN25&gt;=4,"🚨 "&amp;AN25&amp;"期·警惕反转",IF(AN25=3,"⚠️ 3期连续","—")))</f>
        <v/>
      </c>
      <c r="AP25" s="22">
        <f>IF(AL25="","—",IF(ISNUMBER(SEARCH("大",AL25)),IF(OR(AL25="🔴 全大"),IF(AN25&gt;=4,"xxx大 强·⚠️反转?",IF(AN25=3,"xxx大 强·连3期","xxx大 ✅强用")),"xxx大 △弱参考"),IF(OR(AL25="🔵 全小"),IF(AN25&gt;=4,"xxx小 强·⚠️反转?",IF(AN25=3,"xxx小 强·连3期","xxx小 ✅强用")),"xxx小 △弱参考")))</f>
        <v/>
      </c>
      <c r="AQ25" s="3" t="n"/>
      <c r="AR25" s="20">
        <f>IF(OR(D25="",D24=""),"—",IF(K24="","—",IF(ISNUMBER(SEARCH("大",K24)),IF(COUNTIF(H25:J25,"&gt;=5")&gt;=2,"✅","❌"),IF(COUNTIF(H25:J25,"&gt;=5")&lt;=1,"✅","❌"))))</f>
        <v/>
      </c>
      <c r="AS25" s="20">
        <f>IF(OR(D25="",D24=""),"—",IF(T24="","—",IF(ISNUMBER(SEARCH("大",T24)),IF(COUNTIF(Q25:S25,"&gt;=5")&gt;=2,"✅","❌"),IF(COUNTIF(Q25:S25,"&gt;=5")&lt;=1,"✅","❌"))))</f>
        <v/>
      </c>
      <c r="AT25" s="20">
        <f>IF(OR(D25="",D24=""),"—",IF(AC24="","—",IF(ISNUMBER(SEARCH("大",AC24)),IF(COUNTIF(Z25:AB25,"&gt;=5")&gt;=2,"✅","❌"),IF(COUNTIF(Z25:AB25,"&gt;=5")&lt;=1,"✅","❌"))))</f>
        <v/>
      </c>
      <c r="AU25" s="20">
        <f>IF(OR(D25="",D24=""),"—",IF(AL24="","—",IF(ISNUMBER(SEARCH("大",AL24)),IF(COUNTIF(AI25:AK25,"&gt;=5")&gt;=2,"✅","❌"),IF(COUNTIF(AI25:AK25,"&gt;=5")&lt;=1,"✅","❌"))))</f>
        <v/>
      </c>
      <c r="AW25" s="30" t="n"/>
    </row>
    <row r="26" ht="18" customHeight="1">
      <c r="A26" s="16" t="n">
        <v>22</v>
      </c>
      <c r="B26" s="116" t="n"/>
      <c r="C26" s="40" t="n"/>
      <c r="D26" s="117" t="n"/>
      <c r="E26" s="117" t="n"/>
      <c r="F26" s="117" t="n"/>
      <c r="G26" s="3" t="n"/>
      <c r="H26" s="19">
        <f>IF(D26="","",VALUE(MID(TEXT(D26,"0000"),1,1)))</f>
        <v/>
      </c>
      <c r="I26" s="19">
        <f>IF(E26="","",VALUE(MID(TEXT(E26,"0000"),1,1)))</f>
        <v/>
      </c>
      <c r="J26" s="19">
        <f>IF(F26="","",VALUE(MID(TEXT(F26,"0000"),1,1)))</f>
        <v/>
      </c>
      <c r="K26" s="31">
        <f>IF(D26="","",IF(COUNTIF(H26:J26,"&gt;=5")=3,"🔴 全大",IF(COUNTIF(H26:J26,"&gt;=5")=0,"🔵 全小",IF(COUNTIF(H26:J26,"&gt;=5")=2,"▲ 偏大","▼ 偏小"))))</f>
        <v/>
      </c>
      <c r="L26" s="31">
        <f>IF(D26="","",IF((MOD(H26,2)=1)+(MOD(I26,2)=1)+(MOD(J26,2)=1)=3,"⚫ 全单",IF((MOD(H26,2)=1)+(MOD(I26,2)=1)+(MOD(J26,2)=1)=0,"🟣 全双",IF((MOD(H26,2)=1)+(MOD(I26,2)=1)+(MOD(J26,2)=1)=2,"◑ 偏单","◑ 偏双"))))</f>
        <v/>
      </c>
      <c r="M26" s="32">
        <f>IF(D26="","",IF(D25="",1,IF(ISNUMBER(SEARCH("大",K26))=ISNUMBER(SEARCH("大",K25)),M25+1,1)))</f>
        <v/>
      </c>
      <c r="N26" s="31">
        <f>IF(M26="","",IF(M26&gt;=4,"🚨 "&amp;M26&amp;"期·警惕反转",IF(M26=3,"⚠️ 3期连续","—")))</f>
        <v/>
      </c>
      <c r="O26" s="22">
        <f>IF(K26="","—",IF(ISNUMBER(SEARCH("大",K26)),IF(OR(K26="🔴 全大"),IF(M26&gt;=4,"大xxx 强·⚠️反转?",IF(M26=3,"大xxx 强·连3期","大xxx ✅强用")),"大xxx △弱参考"),IF(OR(K26="🔵 全小"),IF(M26&gt;=4,"小xxx 强·⚠️反转?",IF(M26=3,"小xxx 强·连3期","小xxx ✅强用")),"小xxx △弱参考")))</f>
        <v/>
      </c>
      <c r="P26" s="3" t="n"/>
      <c r="Q26" s="23">
        <f>IF(D26="","",VALUE(MID(TEXT(D26,"0000"),2,1)))</f>
        <v/>
      </c>
      <c r="R26" s="23">
        <f>IF(E26="","",VALUE(MID(TEXT(E26,"0000"),2,1)))</f>
        <v/>
      </c>
      <c r="S26" s="23">
        <f>IF(F26="","",VALUE(MID(TEXT(F26,"0000"),2,1)))</f>
        <v/>
      </c>
      <c r="T26" s="31">
        <f>IF(D26="","",IF(COUNTIF(Q26:S26,"&gt;=5")=3,"🔴 全大",IF(COUNTIF(Q26:S26,"&gt;=5")=0,"🔵 全小",IF(COUNTIF(Q26:S26,"&gt;=5")=2,"▲ 偏大","▼ 偏小"))))</f>
        <v/>
      </c>
      <c r="U26" s="31">
        <f>IF(D26="","",IF((MOD(Q26,2)=1)+(MOD(R26,2)=1)+(MOD(S26,2)=1)=3,"⚫ 全单",IF((MOD(Q26,2)=1)+(MOD(R26,2)=1)+(MOD(S26,2)=1)=0,"🟣 全双",IF((MOD(Q26,2)=1)+(MOD(R26,2)=1)+(MOD(S26,2)=1)=2,"◑ 偏单","◑ 偏双"))))</f>
        <v/>
      </c>
      <c r="V26" s="33">
        <f>IF(D26="","",IF(D25="",1,IF(ISNUMBER(SEARCH("大",T26))=ISNUMBER(SEARCH("大",T25)),V25+1,1)))</f>
        <v/>
      </c>
      <c r="W26" s="31">
        <f>IF(V26="","",IF(V26&gt;=4,"🚨 "&amp;V26&amp;"期·警惕反转",IF(V26=3,"⚠️ 3期连续","—")))</f>
        <v/>
      </c>
      <c r="X26" s="22">
        <f>IF(T26="","—",IF(ISNUMBER(SEARCH("大",T26)),IF(OR(T26="🔴 全大"),IF(V26&gt;=4,"x大xx 强·⚠️反转?",IF(V26=3,"x大xx 强·连3期","x大xx ✅强用")),"x大xx △弱参考"),IF(OR(T26="🔵 全小"),IF(V26&gt;=4,"x小xx 强·⚠️反转?",IF(V26=3,"x小xx 强·连3期","x小xx ✅强用")),"x小xx △弱参考")))</f>
        <v/>
      </c>
      <c r="Y26" s="3" t="n"/>
      <c r="Z26" s="25">
        <f>IF(D26="","",VALUE(MID(TEXT(D26,"0000"),3,1)))</f>
        <v/>
      </c>
      <c r="AA26" s="25">
        <f>IF(E26="","",VALUE(MID(TEXT(E26,"0000"),3,1)))</f>
        <v/>
      </c>
      <c r="AB26" s="25">
        <f>IF(F26="","",VALUE(MID(TEXT(F26,"0000"),3,1)))</f>
        <v/>
      </c>
      <c r="AC26" s="31">
        <f>IF(D26="","",IF(COUNTIF(Z26:AB26,"&gt;=5")=3,"🔴 全大",IF(COUNTIF(Z26:AB26,"&gt;=5")=0,"🔵 全小",IF(COUNTIF(Z26:AB26,"&gt;=5")=2,"▲ 偏大","▼ 偏小"))))</f>
        <v/>
      </c>
      <c r="AD26" s="31">
        <f>IF(D26="","",IF((MOD(Z26,2)=1)+(MOD(AA26,2)=1)+(MOD(AB26,2)=1)=3,"⚫ 全单",IF((MOD(Z26,2)=1)+(MOD(AA26,2)=1)+(MOD(AB26,2)=1)=0,"🟣 全双",IF((MOD(Z26,2)=1)+(MOD(AA26,2)=1)+(MOD(AB26,2)=1)=2,"◑ 偏单","◑ 偏双"))))</f>
        <v/>
      </c>
      <c r="AE26" s="34">
        <f>IF(D26="","",IF(D25="",1,IF(ISNUMBER(SEARCH("大",AC26))=ISNUMBER(SEARCH("大",AC25)),AE25+1,1)))</f>
        <v/>
      </c>
      <c r="AF26" s="31">
        <f>IF(AE26="","",IF(AE26&gt;=4,"🚨 "&amp;AE26&amp;"期·警惕反转",IF(AE26=3,"⚠️ 3期连续","—")))</f>
        <v/>
      </c>
      <c r="AG26" s="22">
        <f>IF(AC26="","—",IF(ISNUMBER(SEARCH("大",AC26)),IF(OR(AC26="🔴 全大"),IF(AE26&gt;=4,"xx大x 强·⚠️反转?",IF(AE26=3,"xx大x 强·连3期","xx大x ✅强用")),"xx大x △弱参考"),IF(OR(AC26="🔵 全小"),IF(AE26&gt;=4,"xx小x 强·⚠️反转?",IF(AE26=3,"xx小x 强·连3期","xx小x ✅强用")),"xx小x △弱参考")))</f>
        <v/>
      </c>
      <c r="AH26" s="3" t="n"/>
      <c r="AI26" s="27">
        <f>IF(D26="","",VALUE(MID(TEXT(D26,"0000"),4,1)))</f>
        <v/>
      </c>
      <c r="AJ26" s="27">
        <f>IF(E26="","",VALUE(MID(TEXT(E26,"0000"),4,1)))</f>
        <v/>
      </c>
      <c r="AK26" s="27">
        <f>IF(F26="","",VALUE(MID(TEXT(F26,"0000"),4,1)))</f>
        <v/>
      </c>
      <c r="AL26" s="31">
        <f>IF(D26="","",IF(COUNTIF(AI26:AK26,"&gt;=5")=3,"🔴 全大",IF(COUNTIF(AI26:AK26,"&gt;=5")=0,"🔵 全小",IF(COUNTIF(AI26:AK26,"&gt;=5")=2,"▲ 偏大","▼ 偏小"))))</f>
        <v/>
      </c>
      <c r="AM26" s="31">
        <f>IF(D26="","",IF((MOD(AI26,2)=1)+(MOD(AJ26,2)=1)+(MOD(AK26,2)=1)=3,"⚫ 全单",IF((MOD(AI26,2)=1)+(MOD(AJ26,2)=1)+(MOD(AK26,2)=1)=0,"🟣 全双",IF((MOD(AI26,2)=1)+(MOD(AJ26,2)=1)+(MOD(AK26,2)=1)=2,"◑ 偏单","◑ 偏双"))))</f>
        <v/>
      </c>
      <c r="AN26" s="35">
        <f>IF(D26="","",IF(D25="",1,IF(ISNUMBER(SEARCH("大",AL26))=ISNUMBER(SEARCH("大",AL25)),AN25+1,1)))</f>
        <v/>
      </c>
      <c r="AO26" s="31">
        <f>IF(AN26="","",IF(AN26&gt;=4,"🚨 "&amp;AN26&amp;"期·警惕反转",IF(AN26=3,"⚠️ 3期连续","—")))</f>
        <v/>
      </c>
      <c r="AP26" s="22">
        <f>IF(AL26="","—",IF(ISNUMBER(SEARCH("大",AL26)),IF(OR(AL26="🔴 全大"),IF(AN26&gt;=4,"xxx大 强·⚠️反转?",IF(AN26=3,"xxx大 强·连3期","xxx大 ✅强用")),"xxx大 △弱参考"),IF(OR(AL26="🔵 全小"),IF(AN26&gt;=4,"xxx小 强·⚠️反转?",IF(AN26=3,"xxx小 强·连3期","xxx小 ✅强用")),"xxx小 △弱参考")))</f>
        <v/>
      </c>
      <c r="AQ26" s="3" t="n"/>
      <c r="AR26" s="31">
        <f>IF(OR(D26="",D25=""),"—",IF(K25="","—",IF(ISNUMBER(SEARCH("大",K25)),IF(COUNTIF(H26:J26,"&gt;=5")&gt;=2,"✅","❌"),IF(COUNTIF(H26:J26,"&gt;=5")&lt;=1,"✅","❌"))))</f>
        <v/>
      </c>
      <c r="AS26" s="31">
        <f>IF(OR(D26="",D25=""),"—",IF(T25="","—",IF(ISNUMBER(SEARCH("大",T25)),IF(COUNTIF(Q26:S26,"&gt;=5")&gt;=2,"✅","❌"),IF(COUNTIF(Q26:S26,"&gt;=5")&lt;=1,"✅","❌"))))</f>
        <v/>
      </c>
      <c r="AT26" s="31">
        <f>IF(OR(D26="",D25=""),"—",IF(AC25="","—",IF(ISNUMBER(SEARCH("大",AC25)),IF(COUNTIF(Z26:AB26,"&gt;=5")&gt;=2,"✅","❌"),IF(COUNTIF(Z26:AB26,"&gt;=5")&lt;=1,"✅","❌"))))</f>
        <v/>
      </c>
      <c r="AU26" s="31">
        <f>IF(OR(D26="",D25=""),"—",IF(AL25="","—",IF(ISNUMBER(SEARCH("大",AL25)),IF(COUNTIF(AI26:AK26,"&gt;=5")&gt;=2,"✅","❌"),IF(COUNTIF(AI26:AK26,"&gt;=5")&lt;=1,"✅","❌"))))</f>
        <v/>
      </c>
      <c r="AW26" s="36" t="n"/>
    </row>
    <row r="27" ht="18" customHeight="1">
      <c r="A27" s="16" t="n">
        <v>23</v>
      </c>
      <c r="B27" s="114" t="n"/>
      <c r="C27" s="18" t="n"/>
      <c r="D27" s="115" t="n"/>
      <c r="E27" s="115" t="n"/>
      <c r="F27" s="115" t="n"/>
      <c r="G27" s="3" t="n"/>
      <c r="H27" s="19">
        <f>IF(D27="","",VALUE(MID(TEXT(D27,"0000"),1,1)))</f>
        <v/>
      </c>
      <c r="I27" s="19">
        <f>IF(E27="","",VALUE(MID(TEXT(E27,"0000"),1,1)))</f>
        <v/>
      </c>
      <c r="J27" s="19">
        <f>IF(F27="","",VALUE(MID(TEXT(F27,"0000"),1,1)))</f>
        <v/>
      </c>
      <c r="K27" s="20">
        <f>IF(D27="","",IF(COUNTIF(H27:J27,"&gt;=5")=3,"🔴 全大",IF(COUNTIF(H27:J27,"&gt;=5")=0,"🔵 全小",IF(COUNTIF(H27:J27,"&gt;=5")=2,"▲ 偏大","▼ 偏小"))))</f>
        <v/>
      </c>
      <c r="L27" s="20">
        <f>IF(D27="","",IF((MOD(H27,2)=1)+(MOD(I27,2)=1)+(MOD(J27,2)=1)=3,"⚫ 全单",IF((MOD(H27,2)=1)+(MOD(I27,2)=1)+(MOD(J27,2)=1)=0,"🟣 全双",IF((MOD(H27,2)=1)+(MOD(I27,2)=1)+(MOD(J27,2)=1)=2,"◑ 偏单","◑ 偏双"))))</f>
        <v/>
      </c>
      <c r="M27" s="21">
        <f>IF(D27="","",IF(D26="",1,IF(ISNUMBER(SEARCH("大",K27))=ISNUMBER(SEARCH("大",K26)),M26+1,1)))</f>
        <v/>
      </c>
      <c r="N27" s="20">
        <f>IF(M27="","",IF(M27&gt;=4,"🚨 "&amp;M27&amp;"期·警惕反转",IF(M27=3,"⚠️ 3期连续","—")))</f>
        <v/>
      </c>
      <c r="O27" s="22">
        <f>IF(K27="","—",IF(ISNUMBER(SEARCH("大",K27)),IF(OR(K27="🔴 全大"),IF(M27&gt;=4,"大xxx 强·⚠️反转?",IF(M27=3,"大xxx 强·连3期","大xxx ✅强用")),"大xxx △弱参考"),IF(OR(K27="🔵 全小"),IF(M27&gt;=4,"小xxx 强·⚠️反转?",IF(M27=3,"小xxx 强·连3期","小xxx ✅强用")),"小xxx △弱参考")))</f>
        <v/>
      </c>
      <c r="P27" s="3" t="n"/>
      <c r="Q27" s="23">
        <f>IF(D27="","",VALUE(MID(TEXT(D27,"0000"),2,1)))</f>
        <v/>
      </c>
      <c r="R27" s="23">
        <f>IF(E27="","",VALUE(MID(TEXT(E27,"0000"),2,1)))</f>
        <v/>
      </c>
      <c r="S27" s="23">
        <f>IF(F27="","",VALUE(MID(TEXT(F27,"0000"),2,1)))</f>
        <v/>
      </c>
      <c r="T27" s="20">
        <f>IF(D27="","",IF(COUNTIF(Q27:S27,"&gt;=5")=3,"🔴 全大",IF(COUNTIF(Q27:S27,"&gt;=5")=0,"🔵 全小",IF(COUNTIF(Q27:S27,"&gt;=5")=2,"▲ 偏大","▼ 偏小"))))</f>
        <v/>
      </c>
      <c r="U27" s="20">
        <f>IF(D27="","",IF((MOD(Q27,2)=1)+(MOD(R27,2)=1)+(MOD(S27,2)=1)=3,"⚫ 全单",IF((MOD(Q27,2)=1)+(MOD(R27,2)=1)+(MOD(S27,2)=1)=0,"🟣 全双",IF((MOD(Q27,2)=1)+(MOD(R27,2)=1)+(MOD(S27,2)=1)=2,"◑ 偏单","◑ 偏双"))))</f>
        <v/>
      </c>
      <c r="V27" s="24">
        <f>IF(D27="","",IF(D26="",1,IF(ISNUMBER(SEARCH("大",T27))=ISNUMBER(SEARCH("大",T26)),V26+1,1)))</f>
        <v/>
      </c>
      <c r="W27" s="20">
        <f>IF(V27="","",IF(V27&gt;=4,"🚨 "&amp;V27&amp;"期·警惕反转",IF(V27=3,"⚠️ 3期连续","—")))</f>
        <v/>
      </c>
      <c r="X27" s="22">
        <f>IF(T27="","—",IF(ISNUMBER(SEARCH("大",T27)),IF(OR(T27="🔴 全大"),IF(V27&gt;=4,"x大xx 强·⚠️反转?",IF(V27=3,"x大xx 强·连3期","x大xx ✅强用")),"x大xx △弱参考"),IF(OR(T27="🔵 全小"),IF(V27&gt;=4,"x小xx 强·⚠️反转?",IF(V27=3,"x小xx 强·连3期","x小xx ✅强用")),"x小xx △弱参考")))</f>
        <v/>
      </c>
      <c r="Y27" s="3" t="n"/>
      <c r="Z27" s="25">
        <f>IF(D27="","",VALUE(MID(TEXT(D27,"0000"),3,1)))</f>
        <v/>
      </c>
      <c r="AA27" s="25">
        <f>IF(E27="","",VALUE(MID(TEXT(E27,"0000"),3,1)))</f>
        <v/>
      </c>
      <c r="AB27" s="25">
        <f>IF(F27="","",VALUE(MID(TEXT(F27,"0000"),3,1)))</f>
        <v/>
      </c>
      <c r="AC27" s="20">
        <f>IF(D27="","",IF(COUNTIF(Z27:AB27,"&gt;=5")=3,"🔴 全大",IF(COUNTIF(Z27:AB27,"&gt;=5")=0,"🔵 全小",IF(COUNTIF(Z27:AB27,"&gt;=5")=2,"▲ 偏大","▼ 偏小"))))</f>
        <v/>
      </c>
      <c r="AD27" s="20">
        <f>IF(D27="","",IF((MOD(Z27,2)=1)+(MOD(AA27,2)=1)+(MOD(AB27,2)=1)=3,"⚫ 全单",IF((MOD(Z27,2)=1)+(MOD(AA27,2)=1)+(MOD(AB27,2)=1)=0,"🟣 全双",IF((MOD(Z27,2)=1)+(MOD(AA27,2)=1)+(MOD(AB27,2)=1)=2,"◑ 偏单","◑ 偏双"))))</f>
        <v/>
      </c>
      <c r="AE27" s="26">
        <f>IF(D27="","",IF(D26="",1,IF(ISNUMBER(SEARCH("大",AC27))=ISNUMBER(SEARCH("大",AC26)),AE26+1,1)))</f>
        <v/>
      </c>
      <c r="AF27" s="20">
        <f>IF(AE27="","",IF(AE27&gt;=4,"🚨 "&amp;AE27&amp;"期·警惕反转",IF(AE27=3,"⚠️ 3期连续","—")))</f>
        <v/>
      </c>
      <c r="AG27" s="22">
        <f>IF(AC27="","—",IF(ISNUMBER(SEARCH("大",AC27)),IF(OR(AC27="🔴 全大"),IF(AE27&gt;=4,"xx大x 强·⚠️反转?",IF(AE27=3,"xx大x 强·连3期","xx大x ✅强用")),"xx大x △弱参考"),IF(OR(AC27="🔵 全小"),IF(AE27&gt;=4,"xx小x 强·⚠️反转?",IF(AE27=3,"xx小x 强·连3期","xx小x ✅强用")),"xx小x △弱参考")))</f>
        <v/>
      </c>
      <c r="AH27" s="3" t="n"/>
      <c r="AI27" s="27">
        <f>IF(D27="","",VALUE(MID(TEXT(D27,"0000"),4,1)))</f>
        <v/>
      </c>
      <c r="AJ27" s="27">
        <f>IF(E27="","",VALUE(MID(TEXT(E27,"0000"),4,1)))</f>
        <v/>
      </c>
      <c r="AK27" s="27">
        <f>IF(F27="","",VALUE(MID(TEXT(F27,"0000"),4,1)))</f>
        <v/>
      </c>
      <c r="AL27" s="20">
        <f>IF(D27="","",IF(COUNTIF(AI27:AK27,"&gt;=5")=3,"🔴 全大",IF(COUNTIF(AI27:AK27,"&gt;=5")=0,"🔵 全小",IF(COUNTIF(AI27:AK27,"&gt;=5")=2,"▲ 偏大","▼ 偏小"))))</f>
        <v/>
      </c>
      <c r="AM27" s="20">
        <f>IF(D27="","",IF((MOD(AI27,2)=1)+(MOD(AJ27,2)=1)+(MOD(AK27,2)=1)=3,"⚫ 全单",IF((MOD(AI27,2)=1)+(MOD(AJ27,2)=1)+(MOD(AK27,2)=1)=0,"🟣 全双",IF((MOD(AI27,2)=1)+(MOD(AJ27,2)=1)+(MOD(AK27,2)=1)=2,"◑ 偏单","◑ 偏双"))))</f>
        <v/>
      </c>
      <c r="AN27" s="28">
        <f>IF(D27="","",IF(D26="",1,IF(ISNUMBER(SEARCH("大",AL27))=ISNUMBER(SEARCH("大",AL26)),AN26+1,1)))</f>
        <v/>
      </c>
      <c r="AO27" s="20">
        <f>IF(AN27="","",IF(AN27&gt;=4,"🚨 "&amp;AN27&amp;"期·警惕反转",IF(AN27=3,"⚠️ 3期连续","—")))</f>
        <v/>
      </c>
      <c r="AP27" s="22">
        <f>IF(AL27="","—",IF(ISNUMBER(SEARCH("大",AL27)),IF(OR(AL27="🔴 全大"),IF(AN27&gt;=4,"xxx大 强·⚠️反转?",IF(AN27=3,"xxx大 强·连3期","xxx大 ✅强用")),"xxx大 △弱参考"),IF(OR(AL27="🔵 全小"),IF(AN27&gt;=4,"xxx小 强·⚠️反转?",IF(AN27=3,"xxx小 强·连3期","xxx小 ✅强用")),"xxx小 △弱参考")))</f>
        <v/>
      </c>
      <c r="AQ27" s="3" t="n"/>
      <c r="AR27" s="20">
        <f>IF(OR(D27="",D26=""),"—",IF(K26="","—",IF(ISNUMBER(SEARCH("大",K26)),IF(COUNTIF(H27:J27,"&gt;=5")&gt;=2,"✅","❌"),IF(COUNTIF(H27:J27,"&gt;=5")&lt;=1,"✅","❌"))))</f>
        <v/>
      </c>
      <c r="AS27" s="20">
        <f>IF(OR(D27="",D26=""),"—",IF(T26="","—",IF(ISNUMBER(SEARCH("大",T26)),IF(COUNTIF(Q27:S27,"&gt;=5")&gt;=2,"✅","❌"),IF(COUNTIF(Q27:S27,"&gt;=5")&lt;=1,"✅","❌"))))</f>
        <v/>
      </c>
      <c r="AT27" s="20">
        <f>IF(OR(D27="",D26=""),"—",IF(AC26="","—",IF(ISNUMBER(SEARCH("大",AC26)),IF(COUNTIF(Z27:AB27,"&gt;=5")&gt;=2,"✅","❌"),IF(COUNTIF(Z27:AB27,"&gt;=5")&lt;=1,"✅","❌"))))</f>
        <v/>
      </c>
      <c r="AU27" s="20">
        <f>IF(OR(D27="",D26=""),"—",IF(AL26="","—",IF(ISNUMBER(SEARCH("大",AL26)),IF(COUNTIF(AI27:AK27,"&gt;=5")&gt;=2,"✅","❌"),IF(COUNTIF(AI27:AK27,"&gt;=5")&lt;=1,"✅","❌"))))</f>
        <v/>
      </c>
      <c r="AW27" s="30" t="n"/>
    </row>
    <row r="28" ht="18" customHeight="1">
      <c r="A28" s="16" t="n">
        <v>24</v>
      </c>
      <c r="B28" s="116" t="n"/>
      <c r="C28" s="40" t="n"/>
      <c r="D28" s="117" t="n"/>
      <c r="E28" s="117" t="n"/>
      <c r="F28" s="117" t="n"/>
      <c r="G28" s="3" t="n"/>
      <c r="H28" s="19">
        <f>IF(D28="","",VALUE(MID(TEXT(D28,"0000"),1,1)))</f>
        <v/>
      </c>
      <c r="I28" s="19">
        <f>IF(E28="","",VALUE(MID(TEXT(E28,"0000"),1,1)))</f>
        <v/>
      </c>
      <c r="J28" s="19">
        <f>IF(F28="","",VALUE(MID(TEXT(F28,"0000"),1,1)))</f>
        <v/>
      </c>
      <c r="K28" s="31">
        <f>IF(D28="","",IF(COUNTIF(H28:J28,"&gt;=5")=3,"🔴 全大",IF(COUNTIF(H28:J28,"&gt;=5")=0,"🔵 全小",IF(COUNTIF(H28:J28,"&gt;=5")=2,"▲ 偏大","▼ 偏小"))))</f>
        <v/>
      </c>
      <c r="L28" s="31">
        <f>IF(D28="","",IF((MOD(H28,2)=1)+(MOD(I28,2)=1)+(MOD(J28,2)=1)=3,"⚫ 全单",IF((MOD(H28,2)=1)+(MOD(I28,2)=1)+(MOD(J28,2)=1)=0,"🟣 全双",IF((MOD(H28,2)=1)+(MOD(I28,2)=1)+(MOD(J28,2)=1)=2,"◑ 偏单","◑ 偏双"))))</f>
        <v/>
      </c>
      <c r="M28" s="32">
        <f>IF(D28="","",IF(D27="",1,IF(ISNUMBER(SEARCH("大",K28))=ISNUMBER(SEARCH("大",K27)),M27+1,1)))</f>
        <v/>
      </c>
      <c r="N28" s="31">
        <f>IF(M28="","",IF(M28&gt;=4,"🚨 "&amp;M28&amp;"期·警惕反转",IF(M28=3,"⚠️ 3期连续","—")))</f>
        <v/>
      </c>
      <c r="O28" s="22">
        <f>IF(K28="","—",IF(ISNUMBER(SEARCH("大",K28)),IF(OR(K28="🔴 全大"),IF(M28&gt;=4,"大xxx 强·⚠️反转?",IF(M28=3,"大xxx 强·连3期","大xxx ✅强用")),"大xxx △弱参考"),IF(OR(K28="🔵 全小"),IF(M28&gt;=4,"小xxx 强·⚠️反转?",IF(M28=3,"小xxx 强·连3期","小xxx ✅强用")),"小xxx △弱参考")))</f>
        <v/>
      </c>
      <c r="P28" s="3" t="n"/>
      <c r="Q28" s="23">
        <f>IF(D28="","",VALUE(MID(TEXT(D28,"0000"),2,1)))</f>
        <v/>
      </c>
      <c r="R28" s="23">
        <f>IF(E28="","",VALUE(MID(TEXT(E28,"0000"),2,1)))</f>
        <v/>
      </c>
      <c r="S28" s="23">
        <f>IF(F28="","",VALUE(MID(TEXT(F28,"0000"),2,1)))</f>
        <v/>
      </c>
      <c r="T28" s="31">
        <f>IF(D28="","",IF(COUNTIF(Q28:S28,"&gt;=5")=3,"🔴 全大",IF(COUNTIF(Q28:S28,"&gt;=5")=0,"🔵 全小",IF(COUNTIF(Q28:S28,"&gt;=5")=2,"▲ 偏大","▼ 偏小"))))</f>
        <v/>
      </c>
      <c r="U28" s="31">
        <f>IF(D28="","",IF((MOD(Q28,2)=1)+(MOD(R28,2)=1)+(MOD(S28,2)=1)=3,"⚫ 全单",IF((MOD(Q28,2)=1)+(MOD(R28,2)=1)+(MOD(S28,2)=1)=0,"🟣 全双",IF((MOD(Q28,2)=1)+(MOD(R28,2)=1)+(MOD(S28,2)=1)=2,"◑ 偏单","◑ 偏双"))))</f>
        <v/>
      </c>
      <c r="V28" s="33">
        <f>IF(D28="","",IF(D27="",1,IF(ISNUMBER(SEARCH("大",T28))=ISNUMBER(SEARCH("大",T27)),V27+1,1)))</f>
        <v/>
      </c>
      <c r="W28" s="31">
        <f>IF(V28="","",IF(V28&gt;=4,"🚨 "&amp;V28&amp;"期·警惕反转",IF(V28=3,"⚠️ 3期连续","—")))</f>
        <v/>
      </c>
      <c r="X28" s="22">
        <f>IF(T28="","—",IF(ISNUMBER(SEARCH("大",T28)),IF(OR(T28="🔴 全大"),IF(V28&gt;=4,"x大xx 强·⚠️反转?",IF(V28=3,"x大xx 强·连3期","x大xx ✅强用")),"x大xx △弱参考"),IF(OR(T28="🔵 全小"),IF(V28&gt;=4,"x小xx 强·⚠️反转?",IF(V28=3,"x小xx 强·连3期","x小xx ✅强用")),"x小xx △弱参考")))</f>
        <v/>
      </c>
      <c r="Y28" s="3" t="n"/>
      <c r="Z28" s="25">
        <f>IF(D28="","",VALUE(MID(TEXT(D28,"0000"),3,1)))</f>
        <v/>
      </c>
      <c r="AA28" s="25">
        <f>IF(E28="","",VALUE(MID(TEXT(E28,"0000"),3,1)))</f>
        <v/>
      </c>
      <c r="AB28" s="25">
        <f>IF(F28="","",VALUE(MID(TEXT(F28,"0000"),3,1)))</f>
        <v/>
      </c>
      <c r="AC28" s="31">
        <f>IF(D28="","",IF(COUNTIF(Z28:AB28,"&gt;=5")=3,"🔴 全大",IF(COUNTIF(Z28:AB28,"&gt;=5")=0,"🔵 全小",IF(COUNTIF(Z28:AB28,"&gt;=5")=2,"▲ 偏大","▼ 偏小"))))</f>
        <v/>
      </c>
      <c r="AD28" s="31">
        <f>IF(D28="","",IF((MOD(Z28,2)=1)+(MOD(AA28,2)=1)+(MOD(AB28,2)=1)=3,"⚫ 全单",IF((MOD(Z28,2)=1)+(MOD(AA28,2)=1)+(MOD(AB28,2)=1)=0,"🟣 全双",IF((MOD(Z28,2)=1)+(MOD(AA28,2)=1)+(MOD(AB28,2)=1)=2,"◑ 偏单","◑ 偏双"))))</f>
        <v/>
      </c>
      <c r="AE28" s="34">
        <f>IF(D28="","",IF(D27="",1,IF(ISNUMBER(SEARCH("大",AC28))=ISNUMBER(SEARCH("大",AC27)),AE27+1,1)))</f>
        <v/>
      </c>
      <c r="AF28" s="31">
        <f>IF(AE28="","",IF(AE28&gt;=4,"🚨 "&amp;AE28&amp;"期·警惕反转",IF(AE28=3,"⚠️ 3期连续","—")))</f>
        <v/>
      </c>
      <c r="AG28" s="22">
        <f>IF(AC28="","—",IF(ISNUMBER(SEARCH("大",AC28)),IF(OR(AC28="🔴 全大"),IF(AE28&gt;=4,"xx大x 强·⚠️反转?",IF(AE28=3,"xx大x 强·连3期","xx大x ✅强用")),"xx大x △弱参考"),IF(OR(AC28="🔵 全小"),IF(AE28&gt;=4,"xx小x 强·⚠️反转?",IF(AE28=3,"xx小x 强·连3期","xx小x ✅强用")),"xx小x △弱参考")))</f>
        <v/>
      </c>
      <c r="AH28" s="3" t="n"/>
      <c r="AI28" s="27">
        <f>IF(D28="","",VALUE(MID(TEXT(D28,"0000"),4,1)))</f>
        <v/>
      </c>
      <c r="AJ28" s="27">
        <f>IF(E28="","",VALUE(MID(TEXT(E28,"0000"),4,1)))</f>
        <v/>
      </c>
      <c r="AK28" s="27">
        <f>IF(F28="","",VALUE(MID(TEXT(F28,"0000"),4,1)))</f>
        <v/>
      </c>
      <c r="AL28" s="31">
        <f>IF(D28="","",IF(COUNTIF(AI28:AK28,"&gt;=5")=3,"🔴 全大",IF(COUNTIF(AI28:AK28,"&gt;=5")=0,"🔵 全小",IF(COUNTIF(AI28:AK28,"&gt;=5")=2,"▲ 偏大","▼ 偏小"))))</f>
        <v/>
      </c>
      <c r="AM28" s="31">
        <f>IF(D28="","",IF((MOD(AI28,2)=1)+(MOD(AJ28,2)=1)+(MOD(AK28,2)=1)=3,"⚫ 全单",IF((MOD(AI28,2)=1)+(MOD(AJ28,2)=1)+(MOD(AK28,2)=1)=0,"🟣 全双",IF((MOD(AI28,2)=1)+(MOD(AJ28,2)=1)+(MOD(AK28,2)=1)=2,"◑ 偏单","◑ 偏双"))))</f>
        <v/>
      </c>
      <c r="AN28" s="35">
        <f>IF(D28="","",IF(D27="",1,IF(ISNUMBER(SEARCH("大",AL28))=ISNUMBER(SEARCH("大",AL27)),AN27+1,1)))</f>
        <v/>
      </c>
      <c r="AO28" s="31">
        <f>IF(AN28="","",IF(AN28&gt;=4,"🚨 "&amp;AN28&amp;"期·警惕反转",IF(AN28=3,"⚠️ 3期连续","—")))</f>
        <v/>
      </c>
      <c r="AP28" s="22">
        <f>IF(AL28="","—",IF(ISNUMBER(SEARCH("大",AL28)),IF(OR(AL28="🔴 全大"),IF(AN28&gt;=4,"xxx大 强·⚠️反转?",IF(AN28=3,"xxx大 强·连3期","xxx大 ✅强用")),"xxx大 △弱参考"),IF(OR(AL28="🔵 全小"),IF(AN28&gt;=4,"xxx小 强·⚠️反转?",IF(AN28=3,"xxx小 强·连3期","xxx小 ✅强用")),"xxx小 △弱参考")))</f>
        <v/>
      </c>
      <c r="AQ28" s="3" t="n"/>
      <c r="AR28" s="31">
        <f>IF(OR(D28="",D27=""),"—",IF(K27="","—",IF(ISNUMBER(SEARCH("大",K27)),IF(COUNTIF(H28:J28,"&gt;=5")&gt;=2,"✅","❌"),IF(COUNTIF(H28:J28,"&gt;=5")&lt;=1,"✅","❌"))))</f>
        <v/>
      </c>
      <c r="AS28" s="31">
        <f>IF(OR(D28="",D27=""),"—",IF(T27="","—",IF(ISNUMBER(SEARCH("大",T27)),IF(COUNTIF(Q28:S28,"&gt;=5")&gt;=2,"✅","❌"),IF(COUNTIF(Q28:S28,"&gt;=5")&lt;=1,"✅","❌"))))</f>
        <v/>
      </c>
      <c r="AT28" s="31">
        <f>IF(OR(D28="",D27=""),"—",IF(AC27="","—",IF(ISNUMBER(SEARCH("大",AC27)),IF(COUNTIF(Z28:AB28,"&gt;=5")&gt;=2,"✅","❌"),IF(COUNTIF(Z28:AB28,"&gt;=5")&lt;=1,"✅","❌"))))</f>
        <v/>
      </c>
      <c r="AU28" s="31">
        <f>IF(OR(D28="",D27=""),"—",IF(AL27="","—",IF(ISNUMBER(SEARCH("大",AL27)),IF(COUNTIF(AI28:AK28,"&gt;=5")&gt;=2,"✅","❌"),IF(COUNTIF(AI28:AK28,"&gt;=5")&lt;=1,"✅","❌"))))</f>
        <v/>
      </c>
      <c r="AW28" s="36" t="n"/>
    </row>
    <row r="29" ht="18" customHeight="1">
      <c r="A29" s="16" t="n">
        <v>25</v>
      </c>
      <c r="B29" s="114" t="n"/>
      <c r="C29" s="18" t="n"/>
      <c r="D29" s="115" t="n"/>
      <c r="E29" s="115" t="n"/>
      <c r="F29" s="115" t="n"/>
      <c r="G29" s="3" t="n"/>
      <c r="H29" s="19">
        <f>IF(D29="","",VALUE(MID(TEXT(D29,"0000"),1,1)))</f>
        <v/>
      </c>
      <c r="I29" s="19">
        <f>IF(E29="","",VALUE(MID(TEXT(E29,"0000"),1,1)))</f>
        <v/>
      </c>
      <c r="J29" s="19">
        <f>IF(F29="","",VALUE(MID(TEXT(F29,"0000"),1,1)))</f>
        <v/>
      </c>
      <c r="K29" s="20">
        <f>IF(D29="","",IF(COUNTIF(H29:J29,"&gt;=5")=3,"🔴 全大",IF(COUNTIF(H29:J29,"&gt;=5")=0,"🔵 全小",IF(COUNTIF(H29:J29,"&gt;=5")=2,"▲ 偏大","▼ 偏小"))))</f>
        <v/>
      </c>
      <c r="L29" s="20">
        <f>IF(D29="","",IF((MOD(H29,2)=1)+(MOD(I29,2)=1)+(MOD(J29,2)=1)=3,"⚫ 全单",IF((MOD(H29,2)=1)+(MOD(I29,2)=1)+(MOD(J29,2)=1)=0,"🟣 全双",IF((MOD(H29,2)=1)+(MOD(I29,2)=1)+(MOD(J29,2)=1)=2,"◑ 偏单","◑ 偏双"))))</f>
        <v/>
      </c>
      <c r="M29" s="21">
        <f>IF(D29="","",IF(D28="",1,IF(ISNUMBER(SEARCH("大",K29))=ISNUMBER(SEARCH("大",K28)),M28+1,1)))</f>
        <v/>
      </c>
      <c r="N29" s="20">
        <f>IF(M29="","",IF(M29&gt;=4,"🚨 "&amp;M29&amp;"期·警惕反转",IF(M29=3,"⚠️ 3期连续","—")))</f>
        <v/>
      </c>
      <c r="O29" s="22">
        <f>IF(K29="","—",IF(ISNUMBER(SEARCH("大",K29)),IF(OR(K29="🔴 全大"),IF(M29&gt;=4,"大xxx 强·⚠️反转?",IF(M29=3,"大xxx 强·连3期","大xxx ✅强用")),"大xxx △弱参考"),IF(OR(K29="🔵 全小"),IF(M29&gt;=4,"小xxx 强·⚠️反转?",IF(M29=3,"小xxx 强·连3期","小xxx ✅强用")),"小xxx △弱参考")))</f>
        <v/>
      </c>
      <c r="P29" s="3" t="n"/>
      <c r="Q29" s="23">
        <f>IF(D29="","",VALUE(MID(TEXT(D29,"0000"),2,1)))</f>
        <v/>
      </c>
      <c r="R29" s="23">
        <f>IF(E29="","",VALUE(MID(TEXT(E29,"0000"),2,1)))</f>
        <v/>
      </c>
      <c r="S29" s="23">
        <f>IF(F29="","",VALUE(MID(TEXT(F29,"0000"),2,1)))</f>
        <v/>
      </c>
      <c r="T29" s="20">
        <f>IF(D29="","",IF(COUNTIF(Q29:S29,"&gt;=5")=3,"🔴 全大",IF(COUNTIF(Q29:S29,"&gt;=5")=0,"🔵 全小",IF(COUNTIF(Q29:S29,"&gt;=5")=2,"▲ 偏大","▼ 偏小"))))</f>
        <v/>
      </c>
      <c r="U29" s="20">
        <f>IF(D29="","",IF((MOD(Q29,2)=1)+(MOD(R29,2)=1)+(MOD(S29,2)=1)=3,"⚫ 全单",IF((MOD(Q29,2)=1)+(MOD(R29,2)=1)+(MOD(S29,2)=1)=0,"🟣 全双",IF((MOD(Q29,2)=1)+(MOD(R29,2)=1)+(MOD(S29,2)=1)=2,"◑ 偏单","◑ 偏双"))))</f>
        <v/>
      </c>
      <c r="V29" s="24">
        <f>IF(D29="","",IF(D28="",1,IF(ISNUMBER(SEARCH("大",T29))=ISNUMBER(SEARCH("大",T28)),V28+1,1)))</f>
        <v/>
      </c>
      <c r="W29" s="20">
        <f>IF(V29="","",IF(V29&gt;=4,"🚨 "&amp;V29&amp;"期·警惕反转",IF(V29=3,"⚠️ 3期连续","—")))</f>
        <v/>
      </c>
      <c r="X29" s="22">
        <f>IF(T29="","—",IF(ISNUMBER(SEARCH("大",T29)),IF(OR(T29="🔴 全大"),IF(V29&gt;=4,"x大xx 强·⚠️反转?",IF(V29=3,"x大xx 强·连3期","x大xx ✅强用")),"x大xx △弱参考"),IF(OR(T29="🔵 全小"),IF(V29&gt;=4,"x小xx 强·⚠️反转?",IF(V29=3,"x小xx 强·连3期","x小xx ✅强用")),"x小xx △弱参考")))</f>
        <v/>
      </c>
      <c r="Y29" s="3" t="n"/>
      <c r="Z29" s="25">
        <f>IF(D29="","",VALUE(MID(TEXT(D29,"0000"),3,1)))</f>
        <v/>
      </c>
      <c r="AA29" s="25">
        <f>IF(E29="","",VALUE(MID(TEXT(E29,"0000"),3,1)))</f>
        <v/>
      </c>
      <c r="AB29" s="25">
        <f>IF(F29="","",VALUE(MID(TEXT(F29,"0000"),3,1)))</f>
        <v/>
      </c>
      <c r="AC29" s="20">
        <f>IF(D29="","",IF(COUNTIF(Z29:AB29,"&gt;=5")=3,"🔴 全大",IF(COUNTIF(Z29:AB29,"&gt;=5")=0,"🔵 全小",IF(COUNTIF(Z29:AB29,"&gt;=5")=2,"▲ 偏大","▼ 偏小"))))</f>
        <v/>
      </c>
      <c r="AD29" s="20">
        <f>IF(D29="","",IF((MOD(Z29,2)=1)+(MOD(AA29,2)=1)+(MOD(AB29,2)=1)=3,"⚫ 全单",IF((MOD(Z29,2)=1)+(MOD(AA29,2)=1)+(MOD(AB29,2)=1)=0,"🟣 全双",IF((MOD(Z29,2)=1)+(MOD(AA29,2)=1)+(MOD(AB29,2)=1)=2,"◑ 偏单","◑ 偏双"))))</f>
        <v/>
      </c>
      <c r="AE29" s="26">
        <f>IF(D29="","",IF(D28="",1,IF(ISNUMBER(SEARCH("大",AC29))=ISNUMBER(SEARCH("大",AC28)),AE28+1,1)))</f>
        <v/>
      </c>
      <c r="AF29" s="20">
        <f>IF(AE29="","",IF(AE29&gt;=4,"🚨 "&amp;AE29&amp;"期·警惕反转",IF(AE29=3,"⚠️ 3期连续","—")))</f>
        <v/>
      </c>
      <c r="AG29" s="22">
        <f>IF(AC29="","—",IF(ISNUMBER(SEARCH("大",AC29)),IF(OR(AC29="🔴 全大"),IF(AE29&gt;=4,"xx大x 强·⚠️反转?",IF(AE29=3,"xx大x 强·连3期","xx大x ✅强用")),"xx大x △弱参考"),IF(OR(AC29="🔵 全小"),IF(AE29&gt;=4,"xx小x 强·⚠️反转?",IF(AE29=3,"xx小x 强·连3期","xx小x ✅强用")),"xx小x △弱参考")))</f>
        <v/>
      </c>
      <c r="AH29" s="3" t="n"/>
      <c r="AI29" s="27">
        <f>IF(D29="","",VALUE(MID(TEXT(D29,"0000"),4,1)))</f>
        <v/>
      </c>
      <c r="AJ29" s="27">
        <f>IF(E29="","",VALUE(MID(TEXT(E29,"0000"),4,1)))</f>
        <v/>
      </c>
      <c r="AK29" s="27">
        <f>IF(F29="","",VALUE(MID(TEXT(F29,"0000"),4,1)))</f>
        <v/>
      </c>
      <c r="AL29" s="20">
        <f>IF(D29="","",IF(COUNTIF(AI29:AK29,"&gt;=5")=3,"🔴 全大",IF(COUNTIF(AI29:AK29,"&gt;=5")=0,"🔵 全小",IF(COUNTIF(AI29:AK29,"&gt;=5")=2,"▲ 偏大","▼ 偏小"))))</f>
        <v/>
      </c>
      <c r="AM29" s="20">
        <f>IF(D29="","",IF((MOD(AI29,2)=1)+(MOD(AJ29,2)=1)+(MOD(AK29,2)=1)=3,"⚫ 全单",IF((MOD(AI29,2)=1)+(MOD(AJ29,2)=1)+(MOD(AK29,2)=1)=0,"🟣 全双",IF((MOD(AI29,2)=1)+(MOD(AJ29,2)=1)+(MOD(AK29,2)=1)=2,"◑ 偏单","◑ 偏双"))))</f>
        <v/>
      </c>
      <c r="AN29" s="28">
        <f>IF(D29="","",IF(D28="",1,IF(ISNUMBER(SEARCH("大",AL29))=ISNUMBER(SEARCH("大",AL28)),AN28+1,1)))</f>
        <v/>
      </c>
      <c r="AO29" s="20">
        <f>IF(AN29="","",IF(AN29&gt;=4,"🚨 "&amp;AN29&amp;"期·警惕反转",IF(AN29=3,"⚠️ 3期连续","—")))</f>
        <v/>
      </c>
      <c r="AP29" s="22">
        <f>IF(AL29="","—",IF(ISNUMBER(SEARCH("大",AL29)),IF(OR(AL29="🔴 全大"),IF(AN29&gt;=4,"xxx大 强·⚠️反转?",IF(AN29=3,"xxx大 强·连3期","xxx大 ✅强用")),"xxx大 △弱参考"),IF(OR(AL29="🔵 全小"),IF(AN29&gt;=4,"xxx小 强·⚠️反转?",IF(AN29=3,"xxx小 强·连3期","xxx小 ✅强用")),"xxx小 △弱参考")))</f>
        <v/>
      </c>
      <c r="AQ29" s="3" t="n"/>
      <c r="AR29" s="20">
        <f>IF(OR(D29="",D28=""),"—",IF(K28="","—",IF(ISNUMBER(SEARCH("大",K28)),IF(COUNTIF(H29:J29,"&gt;=5")&gt;=2,"✅","❌"),IF(COUNTIF(H29:J29,"&gt;=5")&lt;=1,"✅","❌"))))</f>
        <v/>
      </c>
      <c r="AS29" s="20">
        <f>IF(OR(D29="",D28=""),"—",IF(T28="","—",IF(ISNUMBER(SEARCH("大",T28)),IF(COUNTIF(Q29:S29,"&gt;=5")&gt;=2,"✅","❌"),IF(COUNTIF(Q29:S29,"&gt;=5")&lt;=1,"✅","❌"))))</f>
        <v/>
      </c>
      <c r="AT29" s="20">
        <f>IF(OR(D29="",D28=""),"—",IF(AC28="","—",IF(ISNUMBER(SEARCH("大",AC28)),IF(COUNTIF(Z29:AB29,"&gt;=5")&gt;=2,"✅","❌"),IF(COUNTIF(Z29:AB29,"&gt;=5")&lt;=1,"✅","❌"))))</f>
        <v/>
      </c>
      <c r="AU29" s="20">
        <f>IF(OR(D29="",D28=""),"—",IF(AL28="","—",IF(ISNUMBER(SEARCH("大",AL28)),IF(COUNTIF(AI29:AK29,"&gt;=5")&gt;=2,"✅","❌"),IF(COUNTIF(AI29:AK29,"&gt;=5")&lt;=1,"✅","❌"))))</f>
        <v/>
      </c>
      <c r="AW29" s="30" t="n"/>
    </row>
    <row r="30" ht="18" customHeight="1">
      <c r="A30" s="16" t="n">
        <v>26</v>
      </c>
      <c r="B30" s="116" t="n"/>
      <c r="C30" s="40" t="n"/>
      <c r="D30" s="117" t="n"/>
      <c r="E30" s="117" t="n"/>
      <c r="F30" s="117" t="n"/>
      <c r="G30" s="3" t="n"/>
      <c r="H30" s="19">
        <f>IF(D30="","",VALUE(MID(TEXT(D30,"0000"),1,1)))</f>
        <v/>
      </c>
      <c r="I30" s="19">
        <f>IF(E30="","",VALUE(MID(TEXT(E30,"0000"),1,1)))</f>
        <v/>
      </c>
      <c r="J30" s="19">
        <f>IF(F30="","",VALUE(MID(TEXT(F30,"0000"),1,1)))</f>
        <v/>
      </c>
      <c r="K30" s="31">
        <f>IF(D30="","",IF(COUNTIF(H30:J30,"&gt;=5")=3,"🔴 全大",IF(COUNTIF(H30:J30,"&gt;=5")=0,"🔵 全小",IF(COUNTIF(H30:J30,"&gt;=5")=2,"▲ 偏大","▼ 偏小"))))</f>
        <v/>
      </c>
      <c r="L30" s="31">
        <f>IF(D30="","",IF((MOD(H30,2)=1)+(MOD(I30,2)=1)+(MOD(J30,2)=1)=3,"⚫ 全单",IF((MOD(H30,2)=1)+(MOD(I30,2)=1)+(MOD(J30,2)=1)=0,"🟣 全双",IF((MOD(H30,2)=1)+(MOD(I30,2)=1)+(MOD(J30,2)=1)=2,"◑ 偏单","◑ 偏双"))))</f>
        <v/>
      </c>
      <c r="M30" s="32">
        <f>IF(D30="","",IF(D29="",1,IF(ISNUMBER(SEARCH("大",K30))=ISNUMBER(SEARCH("大",K29)),M29+1,1)))</f>
        <v/>
      </c>
      <c r="N30" s="31">
        <f>IF(M30="","",IF(M30&gt;=4,"🚨 "&amp;M30&amp;"期·警惕反转",IF(M30=3,"⚠️ 3期连续","—")))</f>
        <v/>
      </c>
      <c r="O30" s="22">
        <f>IF(K30="","—",IF(ISNUMBER(SEARCH("大",K30)),IF(OR(K30="🔴 全大"),IF(M30&gt;=4,"大xxx 强·⚠️反转?",IF(M30=3,"大xxx 强·连3期","大xxx ✅强用")),"大xxx △弱参考"),IF(OR(K30="🔵 全小"),IF(M30&gt;=4,"小xxx 强·⚠️反转?",IF(M30=3,"小xxx 强·连3期","小xxx ✅强用")),"小xxx △弱参考")))</f>
        <v/>
      </c>
      <c r="P30" s="3" t="n"/>
      <c r="Q30" s="23">
        <f>IF(D30="","",VALUE(MID(TEXT(D30,"0000"),2,1)))</f>
        <v/>
      </c>
      <c r="R30" s="23">
        <f>IF(E30="","",VALUE(MID(TEXT(E30,"0000"),2,1)))</f>
        <v/>
      </c>
      <c r="S30" s="23">
        <f>IF(F30="","",VALUE(MID(TEXT(F30,"0000"),2,1)))</f>
        <v/>
      </c>
      <c r="T30" s="31">
        <f>IF(D30="","",IF(COUNTIF(Q30:S30,"&gt;=5")=3,"🔴 全大",IF(COUNTIF(Q30:S30,"&gt;=5")=0,"🔵 全小",IF(COUNTIF(Q30:S30,"&gt;=5")=2,"▲ 偏大","▼ 偏小"))))</f>
        <v/>
      </c>
      <c r="U30" s="31">
        <f>IF(D30="","",IF((MOD(Q30,2)=1)+(MOD(R30,2)=1)+(MOD(S30,2)=1)=3,"⚫ 全单",IF((MOD(Q30,2)=1)+(MOD(R30,2)=1)+(MOD(S30,2)=1)=0,"🟣 全双",IF((MOD(Q30,2)=1)+(MOD(R30,2)=1)+(MOD(S30,2)=1)=2,"◑ 偏单","◑ 偏双"))))</f>
        <v/>
      </c>
      <c r="V30" s="33">
        <f>IF(D30="","",IF(D29="",1,IF(ISNUMBER(SEARCH("大",T30))=ISNUMBER(SEARCH("大",T29)),V29+1,1)))</f>
        <v/>
      </c>
      <c r="W30" s="31">
        <f>IF(V30="","",IF(V30&gt;=4,"🚨 "&amp;V30&amp;"期·警惕反转",IF(V30=3,"⚠️ 3期连续","—")))</f>
        <v/>
      </c>
      <c r="X30" s="22">
        <f>IF(T30="","—",IF(ISNUMBER(SEARCH("大",T30)),IF(OR(T30="🔴 全大"),IF(V30&gt;=4,"x大xx 强·⚠️反转?",IF(V30=3,"x大xx 强·连3期","x大xx ✅强用")),"x大xx △弱参考"),IF(OR(T30="🔵 全小"),IF(V30&gt;=4,"x小xx 强·⚠️反转?",IF(V30=3,"x小xx 强·连3期","x小xx ✅强用")),"x小xx △弱参考")))</f>
        <v/>
      </c>
      <c r="Y30" s="3" t="n"/>
      <c r="Z30" s="25">
        <f>IF(D30="","",VALUE(MID(TEXT(D30,"0000"),3,1)))</f>
        <v/>
      </c>
      <c r="AA30" s="25">
        <f>IF(E30="","",VALUE(MID(TEXT(E30,"0000"),3,1)))</f>
        <v/>
      </c>
      <c r="AB30" s="25">
        <f>IF(F30="","",VALUE(MID(TEXT(F30,"0000"),3,1)))</f>
        <v/>
      </c>
      <c r="AC30" s="31">
        <f>IF(D30="","",IF(COUNTIF(Z30:AB30,"&gt;=5")=3,"🔴 全大",IF(COUNTIF(Z30:AB30,"&gt;=5")=0,"🔵 全小",IF(COUNTIF(Z30:AB30,"&gt;=5")=2,"▲ 偏大","▼ 偏小"))))</f>
        <v/>
      </c>
      <c r="AD30" s="31">
        <f>IF(D30="","",IF((MOD(Z30,2)=1)+(MOD(AA30,2)=1)+(MOD(AB30,2)=1)=3,"⚫ 全单",IF((MOD(Z30,2)=1)+(MOD(AA30,2)=1)+(MOD(AB30,2)=1)=0,"🟣 全双",IF((MOD(Z30,2)=1)+(MOD(AA30,2)=1)+(MOD(AB30,2)=1)=2,"◑ 偏单","◑ 偏双"))))</f>
        <v/>
      </c>
      <c r="AE30" s="34">
        <f>IF(D30="","",IF(D29="",1,IF(ISNUMBER(SEARCH("大",AC30))=ISNUMBER(SEARCH("大",AC29)),AE29+1,1)))</f>
        <v/>
      </c>
      <c r="AF30" s="31">
        <f>IF(AE30="","",IF(AE30&gt;=4,"🚨 "&amp;AE30&amp;"期·警惕反转",IF(AE30=3,"⚠️ 3期连续","—")))</f>
        <v/>
      </c>
      <c r="AG30" s="22">
        <f>IF(AC30="","—",IF(ISNUMBER(SEARCH("大",AC30)),IF(OR(AC30="🔴 全大"),IF(AE30&gt;=4,"xx大x 强·⚠️反转?",IF(AE30=3,"xx大x 强·连3期","xx大x ✅强用")),"xx大x △弱参考"),IF(OR(AC30="🔵 全小"),IF(AE30&gt;=4,"xx小x 强·⚠️反转?",IF(AE30=3,"xx小x 强·连3期","xx小x ✅强用")),"xx小x △弱参考")))</f>
        <v/>
      </c>
      <c r="AH30" s="3" t="n"/>
      <c r="AI30" s="27">
        <f>IF(D30="","",VALUE(MID(TEXT(D30,"0000"),4,1)))</f>
        <v/>
      </c>
      <c r="AJ30" s="27">
        <f>IF(E30="","",VALUE(MID(TEXT(E30,"0000"),4,1)))</f>
        <v/>
      </c>
      <c r="AK30" s="27">
        <f>IF(F30="","",VALUE(MID(TEXT(F30,"0000"),4,1)))</f>
        <v/>
      </c>
      <c r="AL30" s="31">
        <f>IF(D30="","",IF(COUNTIF(AI30:AK30,"&gt;=5")=3,"🔴 全大",IF(COUNTIF(AI30:AK30,"&gt;=5")=0,"🔵 全小",IF(COUNTIF(AI30:AK30,"&gt;=5")=2,"▲ 偏大","▼ 偏小"))))</f>
        <v/>
      </c>
      <c r="AM30" s="31">
        <f>IF(D30="","",IF((MOD(AI30,2)=1)+(MOD(AJ30,2)=1)+(MOD(AK30,2)=1)=3,"⚫ 全单",IF((MOD(AI30,2)=1)+(MOD(AJ30,2)=1)+(MOD(AK30,2)=1)=0,"🟣 全双",IF((MOD(AI30,2)=1)+(MOD(AJ30,2)=1)+(MOD(AK30,2)=1)=2,"◑ 偏单","◑ 偏双"))))</f>
        <v/>
      </c>
      <c r="AN30" s="35">
        <f>IF(D30="","",IF(D29="",1,IF(ISNUMBER(SEARCH("大",AL30))=ISNUMBER(SEARCH("大",AL29)),AN29+1,1)))</f>
        <v/>
      </c>
      <c r="AO30" s="31">
        <f>IF(AN30="","",IF(AN30&gt;=4,"🚨 "&amp;AN30&amp;"期·警惕反转",IF(AN30=3,"⚠️ 3期连续","—")))</f>
        <v/>
      </c>
      <c r="AP30" s="22">
        <f>IF(AL30="","—",IF(ISNUMBER(SEARCH("大",AL30)),IF(OR(AL30="🔴 全大"),IF(AN30&gt;=4,"xxx大 强·⚠️反转?",IF(AN30=3,"xxx大 强·连3期","xxx大 ✅强用")),"xxx大 △弱参考"),IF(OR(AL30="🔵 全小"),IF(AN30&gt;=4,"xxx小 强·⚠️反转?",IF(AN30=3,"xxx小 强·连3期","xxx小 ✅强用")),"xxx小 △弱参考")))</f>
        <v/>
      </c>
      <c r="AQ30" s="3" t="n"/>
      <c r="AR30" s="31">
        <f>IF(OR(D30="",D29=""),"—",IF(K29="","—",IF(ISNUMBER(SEARCH("大",K29)),IF(COUNTIF(H30:J30,"&gt;=5")&gt;=2,"✅","❌"),IF(COUNTIF(H30:J30,"&gt;=5")&lt;=1,"✅","❌"))))</f>
        <v/>
      </c>
      <c r="AS30" s="31">
        <f>IF(OR(D30="",D29=""),"—",IF(T29="","—",IF(ISNUMBER(SEARCH("大",T29)),IF(COUNTIF(Q30:S30,"&gt;=5")&gt;=2,"✅","❌"),IF(COUNTIF(Q30:S30,"&gt;=5")&lt;=1,"✅","❌"))))</f>
        <v/>
      </c>
      <c r="AT30" s="31">
        <f>IF(OR(D30="",D29=""),"—",IF(AC29="","—",IF(ISNUMBER(SEARCH("大",AC29)),IF(COUNTIF(Z30:AB30,"&gt;=5")&gt;=2,"✅","❌"),IF(COUNTIF(Z30:AB30,"&gt;=5")&lt;=1,"✅","❌"))))</f>
        <v/>
      </c>
      <c r="AU30" s="31">
        <f>IF(OR(D30="",D29=""),"—",IF(AL29="","—",IF(ISNUMBER(SEARCH("大",AL29)),IF(COUNTIF(AI30:AK30,"&gt;=5")&gt;=2,"✅","❌"),IF(COUNTIF(AI30:AK30,"&gt;=5")&lt;=1,"✅","❌"))))</f>
        <v/>
      </c>
      <c r="AW30" s="36" t="n"/>
    </row>
    <row r="31" ht="18" customHeight="1">
      <c r="A31" s="16" t="n">
        <v>27</v>
      </c>
      <c r="B31" s="114" t="n"/>
      <c r="C31" s="18" t="n"/>
      <c r="D31" s="115" t="n"/>
      <c r="E31" s="115" t="n"/>
      <c r="F31" s="115" t="n"/>
      <c r="G31" s="3" t="n"/>
      <c r="H31" s="19">
        <f>IF(D31="","",VALUE(MID(TEXT(D31,"0000"),1,1)))</f>
        <v/>
      </c>
      <c r="I31" s="19">
        <f>IF(E31="","",VALUE(MID(TEXT(E31,"0000"),1,1)))</f>
        <v/>
      </c>
      <c r="J31" s="19">
        <f>IF(F31="","",VALUE(MID(TEXT(F31,"0000"),1,1)))</f>
        <v/>
      </c>
      <c r="K31" s="20">
        <f>IF(D31="","",IF(COUNTIF(H31:J31,"&gt;=5")=3,"🔴 全大",IF(COUNTIF(H31:J31,"&gt;=5")=0,"🔵 全小",IF(COUNTIF(H31:J31,"&gt;=5")=2,"▲ 偏大","▼ 偏小"))))</f>
        <v/>
      </c>
      <c r="L31" s="20">
        <f>IF(D31="","",IF((MOD(H31,2)=1)+(MOD(I31,2)=1)+(MOD(J31,2)=1)=3,"⚫ 全单",IF((MOD(H31,2)=1)+(MOD(I31,2)=1)+(MOD(J31,2)=1)=0,"🟣 全双",IF((MOD(H31,2)=1)+(MOD(I31,2)=1)+(MOD(J31,2)=1)=2,"◑ 偏单","◑ 偏双"))))</f>
        <v/>
      </c>
      <c r="M31" s="21">
        <f>IF(D31="","",IF(D30="",1,IF(ISNUMBER(SEARCH("大",K31))=ISNUMBER(SEARCH("大",K30)),M30+1,1)))</f>
        <v/>
      </c>
      <c r="N31" s="20">
        <f>IF(M31="","",IF(M31&gt;=4,"🚨 "&amp;M31&amp;"期·警惕反转",IF(M31=3,"⚠️ 3期连续","—")))</f>
        <v/>
      </c>
      <c r="O31" s="22">
        <f>IF(K31="","—",IF(ISNUMBER(SEARCH("大",K31)),IF(OR(K31="🔴 全大"),IF(M31&gt;=4,"大xxx 强·⚠️反转?",IF(M31=3,"大xxx 强·连3期","大xxx ✅强用")),"大xxx △弱参考"),IF(OR(K31="🔵 全小"),IF(M31&gt;=4,"小xxx 强·⚠️反转?",IF(M31=3,"小xxx 强·连3期","小xxx ✅强用")),"小xxx △弱参考")))</f>
        <v/>
      </c>
      <c r="P31" s="3" t="n"/>
      <c r="Q31" s="23">
        <f>IF(D31="","",VALUE(MID(TEXT(D31,"0000"),2,1)))</f>
        <v/>
      </c>
      <c r="R31" s="23">
        <f>IF(E31="","",VALUE(MID(TEXT(E31,"0000"),2,1)))</f>
        <v/>
      </c>
      <c r="S31" s="23">
        <f>IF(F31="","",VALUE(MID(TEXT(F31,"0000"),2,1)))</f>
        <v/>
      </c>
      <c r="T31" s="20">
        <f>IF(D31="","",IF(COUNTIF(Q31:S31,"&gt;=5")=3,"🔴 全大",IF(COUNTIF(Q31:S31,"&gt;=5")=0,"🔵 全小",IF(COUNTIF(Q31:S31,"&gt;=5")=2,"▲ 偏大","▼ 偏小"))))</f>
        <v/>
      </c>
      <c r="U31" s="20">
        <f>IF(D31="","",IF((MOD(Q31,2)=1)+(MOD(R31,2)=1)+(MOD(S31,2)=1)=3,"⚫ 全单",IF((MOD(Q31,2)=1)+(MOD(R31,2)=1)+(MOD(S31,2)=1)=0,"🟣 全双",IF((MOD(Q31,2)=1)+(MOD(R31,2)=1)+(MOD(S31,2)=1)=2,"◑ 偏单","◑ 偏双"))))</f>
        <v/>
      </c>
      <c r="V31" s="24">
        <f>IF(D31="","",IF(D30="",1,IF(ISNUMBER(SEARCH("大",T31))=ISNUMBER(SEARCH("大",T30)),V30+1,1)))</f>
        <v/>
      </c>
      <c r="W31" s="20">
        <f>IF(V31="","",IF(V31&gt;=4,"🚨 "&amp;V31&amp;"期·警惕反转",IF(V31=3,"⚠️ 3期连续","—")))</f>
        <v/>
      </c>
      <c r="X31" s="22">
        <f>IF(T31="","—",IF(ISNUMBER(SEARCH("大",T31)),IF(OR(T31="🔴 全大"),IF(V31&gt;=4,"x大xx 强·⚠️反转?",IF(V31=3,"x大xx 强·连3期","x大xx ✅强用")),"x大xx △弱参考"),IF(OR(T31="🔵 全小"),IF(V31&gt;=4,"x小xx 强·⚠️反转?",IF(V31=3,"x小xx 强·连3期","x小xx ✅强用")),"x小xx △弱参考")))</f>
        <v/>
      </c>
      <c r="Y31" s="3" t="n"/>
      <c r="Z31" s="25">
        <f>IF(D31="","",VALUE(MID(TEXT(D31,"0000"),3,1)))</f>
        <v/>
      </c>
      <c r="AA31" s="25">
        <f>IF(E31="","",VALUE(MID(TEXT(E31,"0000"),3,1)))</f>
        <v/>
      </c>
      <c r="AB31" s="25">
        <f>IF(F31="","",VALUE(MID(TEXT(F31,"0000"),3,1)))</f>
        <v/>
      </c>
      <c r="AC31" s="20">
        <f>IF(D31="","",IF(COUNTIF(Z31:AB31,"&gt;=5")=3,"🔴 全大",IF(COUNTIF(Z31:AB31,"&gt;=5")=0,"🔵 全小",IF(COUNTIF(Z31:AB31,"&gt;=5")=2,"▲ 偏大","▼ 偏小"))))</f>
        <v/>
      </c>
      <c r="AD31" s="20">
        <f>IF(D31="","",IF((MOD(Z31,2)=1)+(MOD(AA31,2)=1)+(MOD(AB31,2)=1)=3,"⚫ 全单",IF((MOD(Z31,2)=1)+(MOD(AA31,2)=1)+(MOD(AB31,2)=1)=0,"🟣 全双",IF((MOD(Z31,2)=1)+(MOD(AA31,2)=1)+(MOD(AB31,2)=1)=2,"◑ 偏单","◑ 偏双"))))</f>
        <v/>
      </c>
      <c r="AE31" s="26">
        <f>IF(D31="","",IF(D30="",1,IF(ISNUMBER(SEARCH("大",AC31))=ISNUMBER(SEARCH("大",AC30)),AE30+1,1)))</f>
        <v/>
      </c>
      <c r="AF31" s="20">
        <f>IF(AE31="","",IF(AE31&gt;=4,"🚨 "&amp;AE31&amp;"期·警惕反转",IF(AE31=3,"⚠️ 3期连续","—")))</f>
        <v/>
      </c>
      <c r="AG31" s="22">
        <f>IF(AC31="","—",IF(ISNUMBER(SEARCH("大",AC31)),IF(OR(AC31="🔴 全大"),IF(AE31&gt;=4,"xx大x 强·⚠️反转?",IF(AE31=3,"xx大x 强·连3期","xx大x ✅强用")),"xx大x △弱参考"),IF(OR(AC31="🔵 全小"),IF(AE31&gt;=4,"xx小x 强·⚠️反转?",IF(AE31=3,"xx小x 强·连3期","xx小x ✅强用")),"xx小x △弱参考")))</f>
        <v/>
      </c>
      <c r="AH31" s="3" t="n"/>
      <c r="AI31" s="27">
        <f>IF(D31="","",VALUE(MID(TEXT(D31,"0000"),4,1)))</f>
        <v/>
      </c>
      <c r="AJ31" s="27">
        <f>IF(E31="","",VALUE(MID(TEXT(E31,"0000"),4,1)))</f>
        <v/>
      </c>
      <c r="AK31" s="27">
        <f>IF(F31="","",VALUE(MID(TEXT(F31,"0000"),4,1)))</f>
        <v/>
      </c>
      <c r="AL31" s="20">
        <f>IF(D31="","",IF(COUNTIF(AI31:AK31,"&gt;=5")=3,"🔴 全大",IF(COUNTIF(AI31:AK31,"&gt;=5")=0,"🔵 全小",IF(COUNTIF(AI31:AK31,"&gt;=5")=2,"▲ 偏大","▼ 偏小"))))</f>
        <v/>
      </c>
      <c r="AM31" s="20">
        <f>IF(D31="","",IF((MOD(AI31,2)=1)+(MOD(AJ31,2)=1)+(MOD(AK31,2)=1)=3,"⚫ 全单",IF((MOD(AI31,2)=1)+(MOD(AJ31,2)=1)+(MOD(AK31,2)=1)=0,"🟣 全双",IF((MOD(AI31,2)=1)+(MOD(AJ31,2)=1)+(MOD(AK31,2)=1)=2,"◑ 偏单","◑ 偏双"))))</f>
        <v/>
      </c>
      <c r="AN31" s="28">
        <f>IF(D31="","",IF(D30="",1,IF(ISNUMBER(SEARCH("大",AL31))=ISNUMBER(SEARCH("大",AL30)),AN30+1,1)))</f>
        <v/>
      </c>
      <c r="AO31" s="20">
        <f>IF(AN31="","",IF(AN31&gt;=4,"🚨 "&amp;AN31&amp;"期·警惕反转",IF(AN31=3,"⚠️ 3期连续","—")))</f>
        <v/>
      </c>
      <c r="AP31" s="22">
        <f>IF(AL31="","—",IF(ISNUMBER(SEARCH("大",AL31)),IF(OR(AL31="🔴 全大"),IF(AN31&gt;=4,"xxx大 强·⚠️反转?",IF(AN31=3,"xxx大 强·连3期","xxx大 ✅强用")),"xxx大 △弱参考"),IF(OR(AL31="🔵 全小"),IF(AN31&gt;=4,"xxx小 强·⚠️反转?",IF(AN31=3,"xxx小 强·连3期","xxx小 ✅强用")),"xxx小 △弱参考")))</f>
        <v/>
      </c>
      <c r="AQ31" s="3" t="n"/>
      <c r="AR31" s="20">
        <f>IF(OR(D31="",D30=""),"—",IF(K30="","—",IF(ISNUMBER(SEARCH("大",K30)),IF(COUNTIF(H31:J31,"&gt;=5")&gt;=2,"✅","❌"),IF(COUNTIF(H31:J31,"&gt;=5")&lt;=1,"✅","❌"))))</f>
        <v/>
      </c>
      <c r="AS31" s="20">
        <f>IF(OR(D31="",D30=""),"—",IF(T30="","—",IF(ISNUMBER(SEARCH("大",T30)),IF(COUNTIF(Q31:S31,"&gt;=5")&gt;=2,"✅","❌"),IF(COUNTIF(Q31:S31,"&gt;=5")&lt;=1,"✅","❌"))))</f>
        <v/>
      </c>
      <c r="AT31" s="20">
        <f>IF(OR(D31="",D30=""),"—",IF(AC30="","—",IF(ISNUMBER(SEARCH("大",AC30)),IF(COUNTIF(Z31:AB31,"&gt;=5")&gt;=2,"✅","❌"),IF(COUNTIF(Z31:AB31,"&gt;=5")&lt;=1,"✅","❌"))))</f>
        <v/>
      </c>
      <c r="AU31" s="20">
        <f>IF(OR(D31="",D30=""),"—",IF(AL30="","—",IF(ISNUMBER(SEARCH("大",AL30)),IF(COUNTIF(AI31:AK31,"&gt;=5")&gt;=2,"✅","❌"),IF(COUNTIF(AI31:AK31,"&gt;=5")&lt;=1,"✅","❌"))))</f>
        <v/>
      </c>
      <c r="AW31" s="30" t="n"/>
    </row>
    <row r="32" ht="18" customHeight="1">
      <c r="A32" s="16" t="n">
        <v>28</v>
      </c>
      <c r="B32" s="116" t="n"/>
      <c r="C32" s="40" t="n"/>
      <c r="D32" s="117" t="n"/>
      <c r="E32" s="117" t="n"/>
      <c r="F32" s="117" t="n"/>
      <c r="G32" s="3" t="n"/>
      <c r="H32" s="19">
        <f>IF(D32="","",VALUE(MID(TEXT(D32,"0000"),1,1)))</f>
        <v/>
      </c>
      <c r="I32" s="19">
        <f>IF(E32="","",VALUE(MID(TEXT(E32,"0000"),1,1)))</f>
        <v/>
      </c>
      <c r="J32" s="19">
        <f>IF(F32="","",VALUE(MID(TEXT(F32,"0000"),1,1)))</f>
        <v/>
      </c>
      <c r="K32" s="31">
        <f>IF(D32="","",IF(COUNTIF(H32:J32,"&gt;=5")=3,"🔴 全大",IF(COUNTIF(H32:J32,"&gt;=5")=0,"🔵 全小",IF(COUNTIF(H32:J32,"&gt;=5")=2,"▲ 偏大","▼ 偏小"))))</f>
        <v/>
      </c>
      <c r="L32" s="31">
        <f>IF(D32="","",IF((MOD(H32,2)=1)+(MOD(I32,2)=1)+(MOD(J32,2)=1)=3,"⚫ 全单",IF((MOD(H32,2)=1)+(MOD(I32,2)=1)+(MOD(J32,2)=1)=0,"🟣 全双",IF((MOD(H32,2)=1)+(MOD(I32,2)=1)+(MOD(J32,2)=1)=2,"◑ 偏单","◑ 偏双"))))</f>
        <v/>
      </c>
      <c r="M32" s="32">
        <f>IF(D32="","",IF(D31="",1,IF(ISNUMBER(SEARCH("大",K32))=ISNUMBER(SEARCH("大",K31)),M31+1,1)))</f>
        <v/>
      </c>
      <c r="N32" s="31">
        <f>IF(M32="","",IF(M32&gt;=4,"🚨 "&amp;M32&amp;"期·警惕反转",IF(M32=3,"⚠️ 3期连续","—")))</f>
        <v/>
      </c>
      <c r="O32" s="22">
        <f>IF(K32="","—",IF(ISNUMBER(SEARCH("大",K32)),IF(OR(K32="🔴 全大"),IF(M32&gt;=4,"大xxx 强·⚠️反转?",IF(M32=3,"大xxx 强·连3期","大xxx ✅强用")),"大xxx △弱参考"),IF(OR(K32="🔵 全小"),IF(M32&gt;=4,"小xxx 强·⚠️反转?",IF(M32=3,"小xxx 强·连3期","小xxx ✅强用")),"小xxx △弱参考")))</f>
        <v/>
      </c>
      <c r="P32" s="3" t="n"/>
      <c r="Q32" s="23">
        <f>IF(D32="","",VALUE(MID(TEXT(D32,"0000"),2,1)))</f>
        <v/>
      </c>
      <c r="R32" s="23">
        <f>IF(E32="","",VALUE(MID(TEXT(E32,"0000"),2,1)))</f>
        <v/>
      </c>
      <c r="S32" s="23">
        <f>IF(F32="","",VALUE(MID(TEXT(F32,"0000"),2,1)))</f>
        <v/>
      </c>
      <c r="T32" s="31">
        <f>IF(D32="","",IF(COUNTIF(Q32:S32,"&gt;=5")=3,"🔴 全大",IF(COUNTIF(Q32:S32,"&gt;=5")=0,"🔵 全小",IF(COUNTIF(Q32:S32,"&gt;=5")=2,"▲ 偏大","▼ 偏小"))))</f>
        <v/>
      </c>
      <c r="U32" s="31">
        <f>IF(D32="","",IF((MOD(Q32,2)=1)+(MOD(R32,2)=1)+(MOD(S32,2)=1)=3,"⚫ 全单",IF((MOD(Q32,2)=1)+(MOD(R32,2)=1)+(MOD(S32,2)=1)=0,"🟣 全双",IF((MOD(Q32,2)=1)+(MOD(R32,2)=1)+(MOD(S32,2)=1)=2,"◑ 偏单","◑ 偏双"))))</f>
        <v/>
      </c>
      <c r="V32" s="33">
        <f>IF(D32="","",IF(D31="",1,IF(ISNUMBER(SEARCH("大",T32))=ISNUMBER(SEARCH("大",T31)),V31+1,1)))</f>
        <v/>
      </c>
      <c r="W32" s="31">
        <f>IF(V32="","",IF(V32&gt;=4,"🚨 "&amp;V32&amp;"期·警惕反转",IF(V32=3,"⚠️ 3期连续","—")))</f>
        <v/>
      </c>
      <c r="X32" s="22">
        <f>IF(T32="","—",IF(ISNUMBER(SEARCH("大",T32)),IF(OR(T32="🔴 全大"),IF(V32&gt;=4,"x大xx 强·⚠️反转?",IF(V32=3,"x大xx 强·连3期","x大xx ✅强用")),"x大xx △弱参考"),IF(OR(T32="🔵 全小"),IF(V32&gt;=4,"x小xx 强·⚠️反转?",IF(V32=3,"x小xx 强·连3期","x小xx ✅强用")),"x小xx △弱参考")))</f>
        <v/>
      </c>
      <c r="Y32" s="3" t="n"/>
      <c r="Z32" s="25">
        <f>IF(D32="","",VALUE(MID(TEXT(D32,"0000"),3,1)))</f>
        <v/>
      </c>
      <c r="AA32" s="25">
        <f>IF(E32="","",VALUE(MID(TEXT(E32,"0000"),3,1)))</f>
        <v/>
      </c>
      <c r="AB32" s="25">
        <f>IF(F32="","",VALUE(MID(TEXT(F32,"0000"),3,1)))</f>
        <v/>
      </c>
      <c r="AC32" s="31">
        <f>IF(D32="","",IF(COUNTIF(Z32:AB32,"&gt;=5")=3,"🔴 全大",IF(COUNTIF(Z32:AB32,"&gt;=5")=0,"🔵 全小",IF(COUNTIF(Z32:AB32,"&gt;=5")=2,"▲ 偏大","▼ 偏小"))))</f>
        <v/>
      </c>
      <c r="AD32" s="31">
        <f>IF(D32="","",IF((MOD(Z32,2)=1)+(MOD(AA32,2)=1)+(MOD(AB32,2)=1)=3,"⚫ 全单",IF((MOD(Z32,2)=1)+(MOD(AA32,2)=1)+(MOD(AB32,2)=1)=0,"🟣 全双",IF((MOD(Z32,2)=1)+(MOD(AA32,2)=1)+(MOD(AB32,2)=1)=2,"◑ 偏单","◑ 偏双"))))</f>
        <v/>
      </c>
      <c r="AE32" s="34">
        <f>IF(D32="","",IF(D31="",1,IF(ISNUMBER(SEARCH("大",AC32))=ISNUMBER(SEARCH("大",AC31)),AE31+1,1)))</f>
        <v/>
      </c>
      <c r="AF32" s="31">
        <f>IF(AE32="","",IF(AE32&gt;=4,"🚨 "&amp;AE32&amp;"期·警惕反转",IF(AE32=3,"⚠️ 3期连续","—")))</f>
        <v/>
      </c>
      <c r="AG32" s="22">
        <f>IF(AC32="","—",IF(ISNUMBER(SEARCH("大",AC32)),IF(OR(AC32="🔴 全大"),IF(AE32&gt;=4,"xx大x 强·⚠️反转?",IF(AE32=3,"xx大x 强·连3期","xx大x ✅强用")),"xx大x △弱参考"),IF(OR(AC32="🔵 全小"),IF(AE32&gt;=4,"xx小x 强·⚠️反转?",IF(AE32=3,"xx小x 强·连3期","xx小x ✅强用")),"xx小x △弱参考")))</f>
        <v/>
      </c>
      <c r="AH32" s="3" t="n"/>
      <c r="AI32" s="27">
        <f>IF(D32="","",VALUE(MID(TEXT(D32,"0000"),4,1)))</f>
        <v/>
      </c>
      <c r="AJ32" s="27">
        <f>IF(E32="","",VALUE(MID(TEXT(E32,"0000"),4,1)))</f>
        <v/>
      </c>
      <c r="AK32" s="27">
        <f>IF(F32="","",VALUE(MID(TEXT(F32,"0000"),4,1)))</f>
        <v/>
      </c>
      <c r="AL32" s="31">
        <f>IF(D32="","",IF(COUNTIF(AI32:AK32,"&gt;=5")=3,"🔴 全大",IF(COUNTIF(AI32:AK32,"&gt;=5")=0,"🔵 全小",IF(COUNTIF(AI32:AK32,"&gt;=5")=2,"▲ 偏大","▼ 偏小"))))</f>
        <v/>
      </c>
      <c r="AM32" s="31">
        <f>IF(D32="","",IF((MOD(AI32,2)=1)+(MOD(AJ32,2)=1)+(MOD(AK32,2)=1)=3,"⚫ 全单",IF((MOD(AI32,2)=1)+(MOD(AJ32,2)=1)+(MOD(AK32,2)=1)=0,"🟣 全双",IF((MOD(AI32,2)=1)+(MOD(AJ32,2)=1)+(MOD(AK32,2)=1)=2,"◑ 偏单","◑ 偏双"))))</f>
        <v/>
      </c>
      <c r="AN32" s="35">
        <f>IF(D32="","",IF(D31="",1,IF(ISNUMBER(SEARCH("大",AL32))=ISNUMBER(SEARCH("大",AL31)),AN31+1,1)))</f>
        <v/>
      </c>
      <c r="AO32" s="31">
        <f>IF(AN32="","",IF(AN32&gt;=4,"🚨 "&amp;AN32&amp;"期·警惕反转",IF(AN32=3,"⚠️ 3期连续","—")))</f>
        <v/>
      </c>
      <c r="AP32" s="22">
        <f>IF(AL32="","—",IF(ISNUMBER(SEARCH("大",AL32)),IF(OR(AL32="🔴 全大"),IF(AN32&gt;=4,"xxx大 强·⚠️反转?",IF(AN32=3,"xxx大 强·连3期","xxx大 ✅强用")),"xxx大 △弱参考"),IF(OR(AL32="🔵 全小"),IF(AN32&gt;=4,"xxx小 强·⚠️反转?",IF(AN32=3,"xxx小 强·连3期","xxx小 ✅强用")),"xxx小 △弱参考")))</f>
        <v/>
      </c>
      <c r="AQ32" s="3" t="n"/>
      <c r="AR32" s="31">
        <f>IF(OR(D32="",D31=""),"—",IF(K31="","—",IF(ISNUMBER(SEARCH("大",K31)),IF(COUNTIF(H32:J32,"&gt;=5")&gt;=2,"✅","❌"),IF(COUNTIF(H32:J32,"&gt;=5")&lt;=1,"✅","❌"))))</f>
        <v/>
      </c>
      <c r="AS32" s="31">
        <f>IF(OR(D32="",D31=""),"—",IF(T31="","—",IF(ISNUMBER(SEARCH("大",T31)),IF(COUNTIF(Q32:S32,"&gt;=5")&gt;=2,"✅","❌"),IF(COUNTIF(Q32:S32,"&gt;=5")&lt;=1,"✅","❌"))))</f>
        <v/>
      </c>
      <c r="AT32" s="31">
        <f>IF(OR(D32="",D31=""),"—",IF(AC31="","—",IF(ISNUMBER(SEARCH("大",AC31)),IF(COUNTIF(Z32:AB32,"&gt;=5")&gt;=2,"✅","❌"),IF(COUNTIF(Z32:AB32,"&gt;=5")&lt;=1,"✅","❌"))))</f>
        <v/>
      </c>
      <c r="AU32" s="31">
        <f>IF(OR(D32="",D31=""),"—",IF(AL31="","—",IF(ISNUMBER(SEARCH("大",AL31)),IF(COUNTIF(AI32:AK32,"&gt;=5")&gt;=2,"✅","❌"),IF(COUNTIF(AI32:AK32,"&gt;=5")&lt;=1,"✅","❌"))))</f>
        <v/>
      </c>
      <c r="AW32" s="36" t="n"/>
    </row>
    <row r="33" ht="18" customHeight="1">
      <c r="A33" s="16" t="n">
        <v>29</v>
      </c>
      <c r="B33" s="114" t="n"/>
      <c r="C33" s="18" t="n"/>
      <c r="D33" s="115" t="n"/>
      <c r="E33" s="115" t="n"/>
      <c r="F33" s="115" t="n"/>
      <c r="G33" s="3" t="n"/>
      <c r="H33" s="19">
        <f>IF(D33="","",VALUE(MID(TEXT(D33,"0000"),1,1)))</f>
        <v/>
      </c>
      <c r="I33" s="19">
        <f>IF(E33="","",VALUE(MID(TEXT(E33,"0000"),1,1)))</f>
        <v/>
      </c>
      <c r="J33" s="19">
        <f>IF(F33="","",VALUE(MID(TEXT(F33,"0000"),1,1)))</f>
        <v/>
      </c>
      <c r="K33" s="20">
        <f>IF(D33="","",IF(COUNTIF(H33:J33,"&gt;=5")=3,"🔴 全大",IF(COUNTIF(H33:J33,"&gt;=5")=0,"🔵 全小",IF(COUNTIF(H33:J33,"&gt;=5")=2,"▲ 偏大","▼ 偏小"))))</f>
        <v/>
      </c>
      <c r="L33" s="20">
        <f>IF(D33="","",IF((MOD(H33,2)=1)+(MOD(I33,2)=1)+(MOD(J33,2)=1)=3,"⚫ 全单",IF((MOD(H33,2)=1)+(MOD(I33,2)=1)+(MOD(J33,2)=1)=0,"🟣 全双",IF((MOD(H33,2)=1)+(MOD(I33,2)=1)+(MOD(J33,2)=1)=2,"◑ 偏单","◑ 偏双"))))</f>
        <v/>
      </c>
      <c r="M33" s="21">
        <f>IF(D33="","",IF(D32="",1,IF(ISNUMBER(SEARCH("大",K33))=ISNUMBER(SEARCH("大",K32)),M32+1,1)))</f>
        <v/>
      </c>
      <c r="N33" s="20">
        <f>IF(M33="","",IF(M33&gt;=4,"🚨 "&amp;M33&amp;"期·警惕反转",IF(M33=3,"⚠️ 3期连续","—")))</f>
        <v/>
      </c>
      <c r="O33" s="22">
        <f>IF(K33="","—",IF(ISNUMBER(SEARCH("大",K33)),IF(OR(K33="🔴 全大"),IF(M33&gt;=4,"大xxx 强·⚠️反转?",IF(M33=3,"大xxx 强·连3期","大xxx ✅强用")),"大xxx △弱参考"),IF(OR(K33="🔵 全小"),IF(M33&gt;=4,"小xxx 强·⚠️反转?",IF(M33=3,"小xxx 强·连3期","小xxx ✅强用")),"小xxx △弱参考")))</f>
        <v/>
      </c>
      <c r="P33" s="3" t="n"/>
      <c r="Q33" s="23">
        <f>IF(D33="","",VALUE(MID(TEXT(D33,"0000"),2,1)))</f>
        <v/>
      </c>
      <c r="R33" s="23">
        <f>IF(E33="","",VALUE(MID(TEXT(E33,"0000"),2,1)))</f>
        <v/>
      </c>
      <c r="S33" s="23">
        <f>IF(F33="","",VALUE(MID(TEXT(F33,"0000"),2,1)))</f>
        <v/>
      </c>
      <c r="T33" s="20">
        <f>IF(D33="","",IF(COUNTIF(Q33:S33,"&gt;=5")=3,"🔴 全大",IF(COUNTIF(Q33:S33,"&gt;=5")=0,"🔵 全小",IF(COUNTIF(Q33:S33,"&gt;=5")=2,"▲ 偏大","▼ 偏小"))))</f>
        <v/>
      </c>
      <c r="U33" s="20">
        <f>IF(D33="","",IF((MOD(Q33,2)=1)+(MOD(R33,2)=1)+(MOD(S33,2)=1)=3,"⚫ 全单",IF((MOD(Q33,2)=1)+(MOD(R33,2)=1)+(MOD(S33,2)=1)=0,"🟣 全双",IF((MOD(Q33,2)=1)+(MOD(R33,2)=1)+(MOD(S33,2)=1)=2,"◑ 偏单","◑ 偏双"))))</f>
        <v/>
      </c>
      <c r="V33" s="24">
        <f>IF(D33="","",IF(D32="",1,IF(ISNUMBER(SEARCH("大",T33))=ISNUMBER(SEARCH("大",T32)),V32+1,1)))</f>
        <v/>
      </c>
      <c r="W33" s="20">
        <f>IF(V33="","",IF(V33&gt;=4,"🚨 "&amp;V33&amp;"期·警惕反转",IF(V33=3,"⚠️ 3期连续","—")))</f>
        <v/>
      </c>
      <c r="X33" s="22">
        <f>IF(T33="","—",IF(ISNUMBER(SEARCH("大",T33)),IF(OR(T33="🔴 全大"),IF(V33&gt;=4,"x大xx 强·⚠️反转?",IF(V33=3,"x大xx 强·连3期","x大xx ✅强用")),"x大xx △弱参考"),IF(OR(T33="🔵 全小"),IF(V33&gt;=4,"x小xx 强·⚠️反转?",IF(V33=3,"x小xx 强·连3期","x小xx ✅强用")),"x小xx △弱参考")))</f>
        <v/>
      </c>
      <c r="Y33" s="3" t="n"/>
      <c r="Z33" s="25">
        <f>IF(D33="","",VALUE(MID(TEXT(D33,"0000"),3,1)))</f>
        <v/>
      </c>
      <c r="AA33" s="25">
        <f>IF(E33="","",VALUE(MID(TEXT(E33,"0000"),3,1)))</f>
        <v/>
      </c>
      <c r="AB33" s="25">
        <f>IF(F33="","",VALUE(MID(TEXT(F33,"0000"),3,1)))</f>
        <v/>
      </c>
      <c r="AC33" s="20">
        <f>IF(D33="","",IF(COUNTIF(Z33:AB33,"&gt;=5")=3,"🔴 全大",IF(COUNTIF(Z33:AB33,"&gt;=5")=0,"🔵 全小",IF(COUNTIF(Z33:AB33,"&gt;=5")=2,"▲ 偏大","▼ 偏小"))))</f>
        <v/>
      </c>
      <c r="AD33" s="20">
        <f>IF(D33="","",IF((MOD(Z33,2)=1)+(MOD(AA33,2)=1)+(MOD(AB33,2)=1)=3,"⚫ 全单",IF((MOD(Z33,2)=1)+(MOD(AA33,2)=1)+(MOD(AB33,2)=1)=0,"🟣 全双",IF((MOD(Z33,2)=1)+(MOD(AA33,2)=1)+(MOD(AB33,2)=1)=2,"◑ 偏单","◑ 偏双"))))</f>
        <v/>
      </c>
      <c r="AE33" s="26">
        <f>IF(D33="","",IF(D32="",1,IF(ISNUMBER(SEARCH("大",AC33))=ISNUMBER(SEARCH("大",AC32)),AE32+1,1)))</f>
        <v/>
      </c>
      <c r="AF33" s="20">
        <f>IF(AE33="","",IF(AE33&gt;=4,"🚨 "&amp;AE33&amp;"期·警惕反转",IF(AE33=3,"⚠️ 3期连续","—")))</f>
        <v/>
      </c>
      <c r="AG33" s="22">
        <f>IF(AC33="","—",IF(ISNUMBER(SEARCH("大",AC33)),IF(OR(AC33="🔴 全大"),IF(AE33&gt;=4,"xx大x 强·⚠️反转?",IF(AE33=3,"xx大x 强·连3期","xx大x ✅强用")),"xx大x △弱参考"),IF(OR(AC33="🔵 全小"),IF(AE33&gt;=4,"xx小x 强·⚠️反转?",IF(AE33=3,"xx小x 强·连3期","xx小x ✅强用")),"xx小x △弱参考")))</f>
        <v/>
      </c>
      <c r="AH33" s="3" t="n"/>
      <c r="AI33" s="27">
        <f>IF(D33="","",VALUE(MID(TEXT(D33,"0000"),4,1)))</f>
        <v/>
      </c>
      <c r="AJ33" s="27">
        <f>IF(E33="","",VALUE(MID(TEXT(E33,"0000"),4,1)))</f>
        <v/>
      </c>
      <c r="AK33" s="27">
        <f>IF(F33="","",VALUE(MID(TEXT(F33,"0000"),4,1)))</f>
        <v/>
      </c>
      <c r="AL33" s="20">
        <f>IF(D33="","",IF(COUNTIF(AI33:AK33,"&gt;=5")=3,"🔴 全大",IF(COUNTIF(AI33:AK33,"&gt;=5")=0,"🔵 全小",IF(COUNTIF(AI33:AK33,"&gt;=5")=2,"▲ 偏大","▼ 偏小"))))</f>
        <v/>
      </c>
      <c r="AM33" s="20">
        <f>IF(D33="","",IF((MOD(AI33,2)=1)+(MOD(AJ33,2)=1)+(MOD(AK33,2)=1)=3,"⚫ 全单",IF((MOD(AI33,2)=1)+(MOD(AJ33,2)=1)+(MOD(AK33,2)=1)=0,"🟣 全双",IF((MOD(AI33,2)=1)+(MOD(AJ33,2)=1)+(MOD(AK33,2)=1)=2,"◑ 偏单","◑ 偏双"))))</f>
        <v/>
      </c>
      <c r="AN33" s="28">
        <f>IF(D33="","",IF(D32="",1,IF(ISNUMBER(SEARCH("大",AL33))=ISNUMBER(SEARCH("大",AL32)),AN32+1,1)))</f>
        <v/>
      </c>
      <c r="AO33" s="20">
        <f>IF(AN33="","",IF(AN33&gt;=4,"🚨 "&amp;AN33&amp;"期·警惕反转",IF(AN33=3,"⚠️ 3期连续","—")))</f>
        <v/>
      </c>
      <c r="AP33" s="22">
        <f>IF(AL33="","—",IF(ISNUMBER(SEARCH("大",AL33)),IF(OR(AL33="🔴 全大"),IF(AN33&gt;=4,"xxx大 强·⚠️反转?",IF(AN33=3,"xxx大 强·连3期","xxx大 ✅强用")),"xxx大 △弱参考"),IF(OR(AL33="🔵 全小"),IF(AN33&gt;=4,"xxx小 强·⚠️反转?",IF(AN33=3,"xxx小 强·连3期","xxx小 ✅强用")),"xxx小 △弱参考")))</f>
        <v/>
      </c>
      <c r="AQ33" s="3" t="n"/>
      <c r="AR33" s="20">
        <f>IF(OR(D33="",D32=""),"—",IF(K32="","—",IF(ISNUMBER(SEARCH("大",K32)),IF(COUNTIF(H33:J33,"&gt;=5")&gt;=2,"✅","❌"),IF(COUNTIF(H33:J33,"&gt;=5")&lt;=1,"✅","❌"))))</f>
        <v/>
      </c>
      <c r="AS33" s="20">
        <f>IF(OR(D33="",D32=""),"—",IF(T32="","—",IF(ISNUMBER(SEARCH("大",T32)),IF(COUNTIF(Q33:S33,"&gt;=5")&gt;=2,"✅","❌"),IF(COUNTIF(Q33:S33,"&gt;=5")&lt;=1,"✅","❌"))))</f>
        <v/>
      </c>
      <c r="AT33" s="20">
        <f>IF(OR(D33="",D32=""),"—",IF(AC32="","—",IF(ISNUMBER(SEARCH("大",AC32)),IF(COUNTIF(Z33:AB33,"&gt;=5")&gt;=2,"✅","❌"),IF(COUNTIF(Z33:AB33,"&gt;=5")&lt;=1,"✅","❌"))))</f>
        <v/>
      </c>
      <c r="AU33" s="20">
        <f>IF(OR(D33="",D32=""),"—",IF(AL32="","—",IF(ISNUMBER(SEARCH("大",AL32)),IF(COUNTIF(AI33:AK33,"&gt;=5")&gt;=2,"✅","❌"),IF(COUNTIF(AI33:AK33,"&gt;=5")&lt;=1,"✅","❌"))))</f>
        <v/>
      </c>
      <c r="AW33" s="30" t="n"/>
    </row>
    <row r="34" ht="18" customHeight="1">
      <c r="A34" s="16" t="n">
        <v>30</v>
      </c>
      <c r="B34" s="116" t="n"/>
      <c r="C34" s="40" t="n"/>
      <c r="D34" s="117" t="n"/>
      <c r="E34" s="117" t="n"/>
      <c r="F34" s="117" t="n"/>
      <c r="G34" s="3" t="n"/>
      <c r="H34" s="19">
        <f>IF(D34="","",VALUE(MID(TEXT(D34,"0000"),1,1)))</f>
        <v/>
      </c>
      <c r="I34" s="19">
        <f>IF(E34="","",VALUE(MID(TEXT(E34,"0000"),1,1)))</f>
        <v/>
      </c>
      <c r="J34" s="19">
        <f>IF(F34="","",VALUE(MID(TEXT(F34,"0000"),1,1)))</f>
        <v/>
      </c>
      <c r="K34" s="31">
        <f>IF(D34="","",IF(COUNTIF(H34:J34,"&gt;=5")=3,"🔴 全大",IF(COUNTIF(H34:J34,"&gt;=5")=0,"🔵 全小",IF(COUNTIF(H34:J34,"&gt;=5")=2,"▲ 偏大","▼ 偏小"))))</f>
        <v/>
      </c>
      <c r="L34" s="31">
        <f>IF(D34="","",IF((MOD(H34,2)=1)+(MOD(I34,2)=1)+(MOD(J34,2)=1)=3,"⚫ 全单",IF((MOD(H34,2)=1)+(MOD(I34,2)=1)+(MOD(J34,2)=1)=0,"🟣 全双",IF((MOD(H34,2)=1)+(MOD(I34,2)=1)+(MOD(J34,2)=1)=2,"◑ 偏单","◑ 偏双"))))</f>
        <v/>
      </c>
      <c r="M34" s="32">
        <f>IF(D34="","",IF(D33="",1,IF(ISNUMBER(SEARCH("大",K34))=ISNUMBER(SEARCH("大",K33)),M33+1,1)))</f>
        <v/>
      </c>
      <c r="N34" s="31">
        <f>IF(M34="","",IF(M34&gt;=4,"🚨 "&amp;M34&amp;"期·警惕反转",IF(M34=3,"⚠️ 3期连续","—")))</f>
        <v/>
      </c>
      <c r="O34" s="22">
        <f>IF(K34="","—",IF(ISNUMBER(SEARCH("大",K34)),IF(OR(K34="🔴 全大"),IF(M34&gt;=4,"大xxx 强·⚠️反转?",IF(M34=3,"大xxx 强·连3期","大xxx ✅强用")),"大xxx △弱参考"),IF(OR(K34="🔵 全小"),IF(M34&gt;=4,"小xxx 强·⚠️反转?",IF(M34=3,"小xxx 强·连3期","小xxx ✅强用")),"小xxx △弱参考")))</f>
        <v/>
      </c>
      <c r="P34" s="3" t="n"/>
      <c r="Q34" s="23">
        <f>IF(D34="","",VALUE(MID(TEXT(D34,"0000"),2,1)))</f>
        <v/>
      </c>
      <c r="R34" s="23">
        <f>IF(E34="","",VALUE(MID(TEXT(E34,"0000"),2,1)))</f>
        <v/>
      </c>
      <c r="S34" s="23">
        <f>IF(F34="","",VALUE(MID(TEXT(F34,"0000"),2,1)))</f>
        <v/>
      </c>
      <c r="T34" s="31">
        <f>IF(D34="","",IF(COUNTIF(Q34:S34,"&gt;=5")=3,"🔴 全大",IF(COUNTIF(Q34:S34,"&gt;=5")=0,"🔵 全小",IF(COUNTIF(Q34:S34,"&gt;=5")=2,"▲ 偏大","▼ 偏小"))))</f>
        <v/>
      </c>
      <c r="U34" s="31">
        <f>IF(D34="","",IF((MOD(Q34,2)=1)+(MOD(R34,2)=1)+(MOD(S34,2)=1)=3,"⚫ 全单",IF((MOD(Q34,2)=1)+(MOD(R34,2)=1)+(MOD(S34,2)=1)=0,"🟣 全双",IF((MOD(Q34,2)=1)+(MOD(R34,2)=1)+(MOD(S34,2)=1)=2,"◑ 偏单","◑ 偏双"))))</f>
        <v/>
      </c>
      <c r="V34" s="33">
        <f>IF(D34="","",IF(D33="",1,IF(ISNUMBER(SEARCH("大",T34))=ISNUMBER(SEARCH("大",T33)),V33+1,1)))</f>
        <v/>
      </c>
      <c r="W34" s="31">
        <f>IF(V34="","",IF(V34&gt;=4,"🚨 "&amp;V34&amp;"期·警惕反转",IF(V34=3,"⚠️ 3期连续","—")))</f>
        <v/>
      </c>
      <c r="X34" s="22">
        <f>IF(T34="","—",IF(ISNUMBER(SEARCH("大",T34)),IF(OR(T34="🔴 全大"),IF(V34&gt;=4,"x大xx 强·⚠️反转?",IF(V34=3,"x大xx 强·连3期","x大xx ✅强用")),"x大xx △弱参考"),IF(OR(T34="🔵 全小"),IF(V34&gt;=4,"x小xx 强·⚠️反转?",IF(V34=3,"x小xx 强·连3期","x小xx ✅强用")),"x小xx △弱参考")))</f>
        <v/>
      </c>
      <c r="Y34" s="3" t="n"/>
      <c r="Z34" s="25">
        <f>IF(D34="","",VALUE(MID(TEXT(D34,"0000"),3,1)))</f>
        <v/>
      </c>
      <c r="AA34" s="25">
        <f>IF(E34="","",VALUE(MID(TEXT(E34,"0000"),3,1)))</f>
        <v/>
      </c>
      <c r="AB34" s="25">
        <f>IF(F34="","",VALUE(MID(TEXT(F34,"0000"),3,1)))</f>
        <v/>
      </c>
      <c r="AC34" s="31">
        <f>IF(D34="","",IF(COUNTIF(Z34:AB34,"&gt;=5")=3,"🔴 全大",IF(COUNTIF(Z34:AB34,"&gt;=5")=0,"🔵 全小",IF(COUNTIF(Z34:AB34,"&gt;=5")=2,"▲ 偏大","▼ 偏小"))))</f>
        <v/>
      </c>
      <c r="AD34" s="31">
        <f>IF(D34="","",IF((MOD(Z34,2)=1)+(MOD(AA34,2)=1)+(MOD(AB34,2)=1)=3,"⚫ 全单",IF((MOD(Z34,2)=1)+(MOD(AA34,2)=1)+(MOD(AB34,2)=1)=0,"🟣 全双",IF((MOD(Z34,2)=1)+(MOD(AA34,2)=1)+(MOD(AB34,2)=1)=2,"◑ 偏单","◑ 偏双"))))</f>
        <v/>
      </c>
      <c r="AE34" s="34">
        <f>IF(D34="","",IF(D33="",1,IF(ISNUMBER(SEARCH("大",AC34))=ISNUMBER(SEARCH("大",AC33)),AE33+1,1)))</f>
        <v/>
      </c>
      <c r="AF34" s="31">
        <f>IF(AE34="","",IF(AE34&gt;=4,"🚨 "&amp;AE34&amp;"期·警惕反转",IF(AE34=3,"⚠️ 3期连续","—")))</f>
        <v/>
      </c>
      <c r="AG34" s="22">
        <f>IF(AC34="","—",IF(ISNUMBER(SEARCH("大",AC34)),IF(OR(AC34="🔴 全大"),IF(AE34&gt;=4,"xx大x 强·⚠️反转?",IF(AE34=3,"xx大x 强·连3期","xx大x ✅强用")),"xx大x △弱参考"),IF(OR(AC34="🔵 全小"),IF(AE34&gt;=4,"xx小x 强·⚠️反转?",IF(AE34=3,"xx小x 强·连3期","xx小x ✅强用")),"xx小x △弱参考")))</f>
        <v/>
      </c>
      <c r="AH34" s="3" t="n"/>
      <c r="AI34" s="27">
        <f>IF(D34="","",VALUE(MID(TEXT(D34,"0000"),4,1)))</f>
        <v/>
      </c>
      <c r="AJ34" s="27">
        <f>IF(E34="","",VALUE(MID(TEXT(E34,"0000"),4,1)))</f>
        <v/>
      </c>
      <c r="AK34" s="27">
        <f>IF(F34="","",VALUE(MID(TEXT(F34,"0000"),4,1)))</f>
        <v/>
      </c>
      <c r="AL34" s="31">
        <f>IF(D34="","",IF(COUNTIF(AI34:AK34,"&gt;=5")=3,"🔴 全大",IF(COUNTIF(AI34:AK34,"&gt;=5")=0,"🔵 全小",IF(COUNTIF(AI34:AK34,"&gt;=5")=2,"▲ 偏大","▼ 偏小"))))</f>
        <v/>
      </c>
      <c r="AM34" s="31">
        <f>IF(D34="","",IF((MOD(AI34,2)=1)+(MOD(AJ34,2)=1)+(MOD(AK34,2)=1)=3,"⚫ 全单",IF((MOD(AI34,2)=1)+(MOD(AJ34,2)=1)+(MOD(AK34,2)=1)=0,"🟣 全双",IF((MOD(AI34,2)=1)+(MOD(AJ34,2)=1)+(MOD(AK34,2)=1)=2,"◑ 偏单","◑ 偏双"))))</f>
        <v/>
      </c>
      <c r="AN34" s="35">
        <f>IF(D34="","",IF(D33="",1,IF(ISNUMBER(SEARCH("大",AL34))=ISNUMBER(SEARCH("大",AL33)),AN33+1,1)))</f>
        <v/>
      </c>
      <c r="AO34" s="31">
        <f>IF(AN34="","",IF(AN34&gt;=4,"🚨 "&amp;AN34&amp;"期·警惕反转",IF(AN34=3,"⚠️ 3期连续","—")))</f>
        <v/>
      </c>
      <c r="AP34" s="22">
        <f>IF(AL34="","—",IF(ISNUMBER(SEARCH("大",AL34)),IF(OR(AL34="🔴 全大"),IF(AN34&gt;=4,"xxx大 强·⚠️反转?",IF(AN34=3,"xxx大 强·连3期","xxx大 ✅强用")),"xxx大 △弱参考"),IF(OR(AL34="🔵 全小"),IF(AN34&gt;=4,"xxx小 强·⚠️反转?",IF(AN34=3,"xxx小 强·连3期","xxx小 ✅强用")),"xxx小 △弱参考")))</f>
        <v/>
      </c>
      <c r="AQ34" s="3" t="n"/>
      <c r="AR34" s="31">
        <f>IF(OR(D34="",D33=""),"—",IF(K33="","—",IF(ISNUMBER(SEARCH("大",K33)),IF(COUNTIF(H34:J34,"&gt;=5")&gt;=2,"✅","❌"),IF(COUNTIF(H34:J34,"&gt;=5")&lt;=1,"✅","❌"))))</f>
        <v/>
      </c>
      <c r="AS34" s="31">
        <f>IF(OR(D34="",D33=""),"—",IF(T33="","—",IF(ISNUMBER(SEARCH("大",T33)),IF(COUNTIF(Q34:S34,"&gt;=5")&gt;=2,"✅","❌"),IF(COUNTIF(Q34:S34,"&gt;=5")&lt;=1,"✅","❌"))))</f>
        <v/>
      </c>
      <c r="AT34" s="31">
        <f>IF(OR(D34="",D33=""),"—",IF(AC33="","—",IF(ISNUMBER(SEARCH("大",AC33)),IF(COUNTIF(Z34:AB34,"&gt;=5")&gt;=2,"✅","❌"),IF(COUNTIF(Z34:AB34,"&gt;=5")&lt;=1,"✅","❌"))))</f>
        <v/>
      </c>
      <c r="AU34" s="31">
        <f>IF(OR(D34="",D33=""),"—",IF(AL33="","—",IF(ISNUMBER(SEARCH("大",AL33)),IF(COUNTIF(AI34:AK34,"&gt;=5")&gt;=2,"✅","❌"),IF(COUNTIF(AI34:AK34,"&gt;=5")&lt;=1,"✅","❌"))))</f>
        <v/>
      </c>
      <c r="AW34" s="36" t="n"/>
    </row>
    <row r="35" ht="18" customHeight="1">
      <c r="A35" s="16" t="n">
        <v>31</v>
      </c>
      <c r="B35" s="114" t="n"/>
      <c r="C35" s="18" t="n"/>
      <c r="D35" s="115" t="n"/>
      <c r="E35" s="115" t="n"/>
      <c r="F35" s="115" t="n"/>
      <c r="G35" s="3" t="n"/>
      <c r="H35" s="19">
        <f>IF(D35="","",VALUE(MID(TEXT(D35,"0000"),1,1)))</f>
        <v/>
      </c>
      <c r="I35" s="19">
        <f>IF(E35="","",VALUE(MID(TEXT(E35,"0000"),1,1)))</f>
        <v/>
      </c>
      <c r="J35" s="19">
        <f>IF(F35="","",VALUE(MID(TEXT(F35,"0000"),1,1)))</f>
        <v/>
      </c>
      <c r="K35" s="20">
        <f>IF(D35="","",IF(COUNTIF(H35:J35,"&gt;=5")=3,"🔴 全大",IF(COUNTIF(H35:J35,"&gt;=5")=0,"🔵 全小",IF(COUNTIF(H35:J35,"&gt;=5")=2,"▲ 偏大","▼ 偏小"))))</f>
        <v/>
      </c>
      <c r="L35" s="20">
        <f>IF(D35="","",IF((MOD(H35,2)=1)+(MOD(I35,2)=1)+(MOD(J35,2)=1)=3,"⚫ 全单",IF((MOD(H35,2)=1)+(MOD(I35,2)=1)+(MOD(J35,2)=1)=0,"🟣 全双",IF((MOD(H35,2)=1)+(MOD(I35,2)=1)+(MOD(J35,2)=1)=2,"◑ 偏单","◑ 偏双"))))</f>
        <v/>
      </c>
      <c r="M35" s="21">
        <f>IF(D35="","",IF(D34="",1,IF(ISNUMBER(SEARCH("大",K35))=ISNUMBER(SEARCH("大",K34)),M34+1,1)))</f>
        <v/>
      </c>
      <c r="N35" s="20">
        <f>IF(M35="","",IF(M35&gt;=4,"🚨 "&amp;M35&amp;"期·警惕反转",IF(M35=3,"⚠️ 3期连续","—")))</f>
        <v/>
      </c>
      <c r="O35" s="22">
        <f>IF(K35="","—",IF(ISNUMBER(SEARCH("大",K35)),IF(OR(K35="🔴 全大"),IF(M35&gt;=4,"大xxx 强·⚠️反转?",IF(M35=3,"大xxx 强·连3期","大xxx ✅强用")),"大xxx △弱参考"),IF(OR(K35="🔵 全小"),IF(M35&gt;=4,"小xxx 强·⚠️反转?",IF(M35=3,"小xxx 强·连3期","小xxx ✅强用")),"小xxx △弱参考")))</f>
        <v/>
      </c>
      <c r="P35" s="3" t="n"/>
      <c r="Q35" s="23">
        <f>IF(D35="","",VALUE(MID(TEXT(D35,"0000"),2,1)))</f>
        <v/>
      </c>
      <c r="R35" s="23">
        <f>IF(E35="","",VALUE(MID(TEXT(E35,"0000"),2,1)))</f>
        <v/>
      </c>
      <c r="S35" s="23">
        <f>IF(F35="","",VALUE(MID(TEXT(F35,"0000"),2,1)))</f>
        <v/>
      </c>
      <c r="T35" s="20">
        <f>IF(D35="","",IF(COUNTIF(Q35:S35,"&gt;=5")=3,"🔴 全大",IF(COUNTIF(Q35:S35,"&gt;=5")=0,"🔵 全小",IF(COUNTIF(Q35:S35,"&gt;=5")=2,"▲ 偏大","▼ 偏小"))))</f>
        <v/>
      </c>
      <c r="U35" s="20">
        <f>IF(D35="","",IF((MOD(Q35,2)=1)+(MOD(R35,2)=1)+(MOD(S35,2)=1)=3,"⚫ 全单",IF((MOD(Q35,2)=1)+(MOD(R35,2)=1)+(MOD(S35,2)=1)=0,"🟣 全双",IF((MOD(Q35,2)=1)+(MOD(R35,2)=1)+(MOD(S35,2)=1)=2,"◑ 偏单","◑ 偏双"))))</f>
        <v/>
      </c>
      <c r="V35" s="24">
        <f>IF(D35="","",IF(D34="",1,IF(ISNUMBER(SEARCH("大",T35))=ISNUMBER(SEARCH("大",T34)),V34+1,1)))</f>
        <v/>
      </c>
      <c r="W35" s="20">
        <f>IF(V35="","",IF(V35&gt;=4,"🚨 "&amp;V35&amp;"期·警惕反转",IF(V35=3,"⚠️ 3期连续","—")))</f>
        <v/>
      </c>
      <c r="X35" s="22">
        <f>IF(T35="","—",IF(ISNUMBER(SEARCH("大",T35)),IF(OR(T35="🔴 全大"),IF(V35&gt;=4,"x大xx 强·⚠️反转?",IF(V35=3,"x大xx 强·连3期","x大xx ✅强用")),"x大xx △弱参考"),IF(OR(T35="🔵 全小"),IF(V35&gt;=4,"x小xx 强·⚠️反转?",IF(V35=3,"x小xx 强·连3期","x小xx ✅强用")),"x小xx △弱参考")))</f>
        <v/>
      </c>
      <c r="Y35" s="3" t="n"/>
      <c r="Z35" s="25">
        <f>IF(D35="","",VALUE(MID(TEXT(D35,"0000"),3,1)))</f>
        <v/>
      </c>
      <c r="AA35" s="25">
        <f>IF(E35="","",VALUE(MID(TEXT(E35,"0000"),3,1)))</f>
        <v/>
      </c>
      <c r="AB35" s="25">
        <f>IF(F35="","",VALUE(MID(TEXT(F35,"0000"),3,1)))</f>
        <v/>
      </c>
      <c r="AC35" s="20">
        <f>IF(D35="","",IF(COUNTIF(Z35:AB35,"&gt;=5")=3,"🔴 全大",IF(COUNTIF(Z35:AB35,"&gt;=5")=0,"🔵 全小",IF(COUNTIF(Z35:AB35,"&gt;=5")=2,"▲ 偏大","▼ 偏小"))))</f>
        <v/>
      </c>
      <c r="AD35" s="20">
        <f>IF(D35="","",IF((MOD(Z35,2)=1)+(MOD(AA35,2)=1)+(MOD(AB35,2)=1)=3,"⚫ 全单",IF((MOD(Z35,2)=1)+(MOD(AA35,2)=1)+(MOD(AB35,2)=1)=0,"🟣 全双",IF((MOD(Z35,2)=1)+(MOD(AA35,2)=1)+(MOD(AB35,2)=1)=2,"◑ 偏单","◑ 偏双"))))</f>
        <v/>
      </c>
      <c r="AE35" s="26">
        <f>IF(D35="","",IF(D34="",1,IF(ISNUMBER(SEARCH("大",AC35))=ISNUMBER(SEARCH("大",AC34)),AE34+1,1)))</f>
        <v/>
      </c>
      <c r="AF35" s="20">
        <f>IF(AE35="","",IF(AE35&gt;=4,"🚨 "&amp;AE35&amp;"期·警惕反转",IF(AE35=3,"⚠️ 3期连续","—")))</f>
        <v/>
      </c>
      <c r="AG35" s="22">
        <f>IF(AC35="","—",IF(ISNUMBER(SEARCH("大",AC35)),IF(OR(AC35="🔴 全大"),IF(AE35&gt;=4,"xx大x 强·⚠️反转?",IF(AE35=3,"xx大x 强·连3期","xx大x ✅强用")),"xx大x △弱参考"),IF(OR(AC35="🔵 全小"),IF(AE35&gt;=4,"xx小x 强·⚠️反转?",IF(AE35=3,"xx小x 强·连3期","xx小x ✅强用")),"xx小x △弱参考")))</f>
        <v/>
      </c>
      <c r="AH35" s="3" t="n"/>
      <c r="AI35" s="27">
        <f>IF(D35="","",VALUE(MID(TEXT(D35,"0000"),4,1)))</f>
        <v/>
      </c>
      <c r="AJ35" s="27">
        <f>IF(E35="","",VALUE(MID(TEXT(E35,"0000"),4,1)))</f>
        <v/>
      </c>
      <c r="AK35" s="27">
        <f>IF(F35="","",VALUE(MID(TEXT(F35,"0000"),4,1)))</f>
        <v/>
      </c>
      <c r="AL35" s="20">
        <f>IF(D35="","",IF(COUNTIF(AI35:AK35,"&gt;=5")=3,"🔴 全大",IF(COUNTIF(AI35:AK35,"&gt;=5")=0,"🔵 全小",IF(COUNTIF(AI35:AK35,"&gt;=5")=2,"▲ 偏大","▼ 偏小"))))</f>
        <v/>
      </c>
      <c r="AM35" s="20">
        <f>IF(D35="","",IF((MOD(AI35,2)=1)+(MOD(AJ35,2)=1)+(MOD(AK35,2)=1)=3,"⚫ 全单",IF((MOD(AI35,2)=1)+(MOD(AJ35,2)=1)+(MOD(AK35,2)=1)=0,"🟣 全双",IF((MOD(AI35,2)=1)+(MOD(AJ35,2)=1)+(MOD(AK35,2)=1)=2,"◑ 偏单","◑ 偏双"))))</f>
        <v/>
      </c>
      <c r="AN35" s="28">
        <f>IF(D35="","",IF(D34="",1,IF(ISNUMBER(SEARCH("大",AL35))=ISNUMBER(SEARCH("大",AL34)),AN34+1,1)))</f>
        <v/>
      </c>
      <c r="AO35" s="20">
        <f>IF(AN35="","",IF(AN35&gt;=4,"🚨 "&amp;AN35&amp;"期·警惕反转",IF(AN35=3,"⚠️ 3期连续","—")))</f>
        <v/>
      </c>
      <c r="AP35" s="22">
        <f>IF(AL35="","—",IF(ISNUMBER(SEARCH("大",AL35)),IF(OR(AL35="🔴 全大"),IF(AN35&gt;=4,"xxx大 强·⚠️反转?",IF(AN35=3,"xxx大 强·连3期","xxx大 ✅强用")),"xxx大 △弱参考"),IF(OR(AL35="🔵 全小"),IF(AN35&gt;=4,"xxx小 强·⚠️反转?",IF(AN35=3,"xxx小 强·连3期","xxx小 ✅强用")),"xxx小 △弱参考")))</f>
        <v/>
      </c>
      <c r="AQ35" s="3" t="n"/>
      <c r="AR35" s="20">
        <f>IF(OR(D35="",D34=""),"—",IF(K34="","—",IF(ISNUMBER(SEARCH("大",K34)),IF(COUNTIF(H35:J35,"&gt;=5")&gt;=2,"✅","❌"),IF(COUNTIF(H35:J35,"&gt;=5")&lt;=1,"✅","❌"))))</f>
        <v/>
      </c>
      <c r="AS35" s="20">
        <f>IF(OR(D35="",D34=""),"—",IF(T34="","—",IF(ISNUMBER(SEARCH("大",T34)),IF(COUNTIF(Q35:S35,"&gt;=5")&gt;=2,"✅","❌"),IF(COUNTIF(Q35:S35,"&gt;=5")&lt;=1,"✅","❌"))))</f>
        <v/>
      </c>
      <c r="AT35" s="20">
        <f>IF(OR(D35="",D34=""),"—",IF(AC34="","—",IF(ISNUMBER(SEARCH("大",AC34)),IF(COUNTIF(Z35:AB35,"&gt;=5")&gt;=2,"✅","❌"),IF(COUNTIF(Z35:AB35,"&gt;=5")&lt;=1,"✅","❌"))))</f>
        <v/>
      </c>
      <c r="AU35" s="20">
        <f>IF(OR(D35="",D34=""),"—",IF(AL34="","—",IF(ISNUMBER(SEARCH("大",AL34)),IF(COUNTIF(AI35:AK35,"&gt;=5")&gt;=2,"✅","❌"),IF(COUNTIF(AI35:AK35,"&gt;=5")&lt;=1,"✅","❌"))))</f>
        <v/>
      </c>
      <c r="AW35" s="30" t="n"/>
    </row>
    <row r="36" ht="18" customHeight="1">
      <c r="A36" s="16" t="n">
        <v>32</v>
      </c>
      <c r="B36" s="116" t="n"/>
      <c r="C36" s="40" t="n"/>
      <c r="D36" s="117" t="n"/>
      <c r="E36" s="117" t="n"/>
      <c r="F36" s="117" t="n"/>
      <c r="G36" s="3" t="n"/>
      <c r="H36" s="19">
        <f>IF(D36="","",VALUE(MID(TEXT(D36,"0000"),1,1)))</f>
        <v/>
      </c>
      <c r="I36" s="19">
        <f>IF(E36="","",VALUE(MID(TEXT(E36,"0000"),1,1)))</f>
        <v/>
      </c>
      <c r="J36" s="19">
        <f>IF(F36="","",VALUE(MID(TEXT(F36,"0000"),1,1)))</f>
        <v/>
      </c>
      <c r="K36" s="31">
        <f>IF(D36="","",IF(COUNTIF(H36:J36,"&gt;=5")=3,"🔴 全大",IF(COUNTIF(H36:J36,"&gt;=5")=0,"🔵 全小",IF(COUNTIF(H36:J36,"&gt;=5")=2,"▲ 偏大","▼ 偏小"))))</f>
        <v/>
      </c>
      <c r="L36" s="31">
        <f>IF(D36="","",IF((MOD(H36,2)=1)+(MOD(I36,2)=1)+(MOD(J36,2)=1)=3,"⚫ 全单",IF((MOD(H36,2)=1)+(MOD(I36,2)=1)+(MOD(J36,2)=1)=0,"🟣 全双",IF((MOD(H36,2)=1)+(MOD(I36,2)=1)+(MOD(J36,2)=1)=2,"◑ 偏单","◑ 偏双"))))</f>
        <v/>
      </c>
      <c r="M36" s="32">
        <f>IF(D36="","",IF(D35="",1,IF(ISNUMBER(SEARCH("大",K36))=ISNUMBER(SEARCH("大",K35)),M35+1,1)))</f>
        <v/>
      </c>
      <c r="N36" s="31">
        <f>IF(M36="","",IF(M36&gt;=4,"🚨 "&amp;M36&amp;"期·警惕反转",IF(M36=3,"⚠️ 3期连续","—")))</f>
        <v/>
      </c>
      <c r="O36" s="22">
        <f>IF(K36="","—",IF(ISNUMBER(SEARCH("大",K36)),IF(OR(K36="🔴 全大"),IF(M36&gt;=4,"大xxx 强·⚠️反转?",IF(M36=3,"大xxx 强·连3期","大xxx ✅强用")),"大xxx △弱参考"),IF(OR(K36="🔵 全小"),IF(M36&gt;=4,"小xxx 强·⚠️反转?",IF(M36=3,"小xxx 强·连3期","小xxx ✅强用")),"小xxx △弱参考")))</f>
        <v/>
      </c>
      <c r="P36" s="3" t="n"/>
      <c r="Q36" s="23">
        <f>IF(D36="","",VALUE(MID(TEXT(D36,"0000"),2,1)))</f>
        <v/>
      </c>
      <c r="R36" s="23">
        <f>IF(E36="","",VALUE(MID(TEXT(E36,"0000"),2,1)))</f>
        <v/>
      </c>
      <c r="S36" s="23">
        <f>IF(F36="","",VALUE(MID(TEXT(F36,"0000"),2,1)))</f>
        <v/>
      </c>
      <c r="T36" s="31">
        <f>IF(D36="","",IF(COUNTIF(Q36:S36,"&gt;=5")=3,"🔴 全大",IF(COUNTIF(Q36:S36,"&gt;=5")=0,"🔵 全小",IF(COUNTIF(Q36:S36,"&gt;=5")=2,"▲ 偏大","▼ 偏小"))))</f>
        <v/>
      </c>
      <c r="U36" s="31">
        <f>IF(D36="","",IF((MOD(Q36,2)=1)+(MOD(R36,2)=1)+(MOD(S36,2)=1)=3,"⚫ 全单",IF((MOD(Q36,2)=1)+(MOD(R36,2)=1)+(MOD(S36,2)=1)=0,"🟣 全双",IF((MOD(Q36,2)=1)+(MOD(R36,2)=1)+(MOD(S36,2)=1)=2,"◑ 偏单","◑ 偏双"))))</f>
        <v/>
      </c>
      <c r="V36" s="33">
        <f>IF(D36="","",IF(D35="",1,IF(ISNUMBER(SEARCH("大",T36))=ISNUMBER(SEARCH("大",T35)),V35+1,1)))</f>
        <v/>
      </c>
      <c r="W36" s="31">
        <f>IF(V36="","",IF(V36&gt;=4,"🚨 "&amp;V36&amp;"期·警惕反转",IF(V36=3,"⚠️ 3期连续","—")))</f>
        <v/>
      </c>
      <c r="X36" s="22">
        <f>IF(T36="","—",IF(ISNUMBER(SEARCH("大",T36)),IF(OR(T36="🔴 全大"),IF(V36&gt;=4,"x大xx 强·⚠️反转?",IF(V36=3,"x大xx 强·连3期","x大xx ✅强用")),"x大xx △弱参考"),IF(OR(T36="🔵 全小"),IF(V36&gt;=4,"x小xx 强·⚠️反转?",IF(V36=3,"x小xx 强·连3期","x小xx ✅强用")),"x小xx △弱参考")))</f>
        <v/>
      </c>
      <c r="Y36" s="3" t="n"/>
      <c r="Z36" s="25">
        <f>IF(D36="","",VALUE(MID(TEXT(D36,"0000"),3,1)))</f>
        <v/>
      </c>
      <c r="AA36" s="25">
        <f>IF(E36="","",VALUE(MID(TEXT(E36,"0000"),3,1)))</f>
        <v/>
      </c>
      <c r="AB36" s="25">
        <f>IF(F36="","",VALUE(MID(TEXT(F36,"0000"),3,1)))</f>
        <v/>
      </c>
      <c r="AC36" s="31">
        <f>IF(D36="","",IF(COUNTIF(Z36:AB36,"&gt;=5")=3,"🔴 全大",IF(COUNTIF(Z36:AB36,"&gt;=5")=0,"🔵 全小",IF(COUNTIF(Z36:AB36,"&gt;=5")=2,"▲ 偏大","▼ 偏小"))))</f>
        <v/>
      </c>
      <c r="AD36" s="31">
        <f>IF(D36="","",IF((MOD(Z36,2)=1)+(MOD(AA36,2)=1)+(MOD(AB36,2)=1)=3,"⚫ 全单",IF((MOD(Z36,2)=1)+(MOD(AA36,2)=1)+(MOD(AB36,2)=1)=0,"🟣 全双",IF((MOD(Z36,2)=1)+(MOD(AA36,2)=1)+(MOD(AB36,2)=1)=2,"◑ 偏单","◑ 偏双"))))</f>
        <v/>
      </c>
      <c r="AE36" s="34">
        <f>IF(D36="","",IF(D35="",1,IF(ISNUMBER(SEARCH("大",AC36))=ISNUMBER(SEARCH("大",AC35)),AE35+1,1)))</f>
        <v/>
      </c>
      <c r="AF36" s="31">
        <f>IF(AE36="","",IF(AE36&gt;=4,"🚨 "&amp;AE36&amp;"期·警惕反转",IF(AE36=3,"⚠️ 3期连续","—")))</f>
        <v/>
      </c>
      <c r="AG36" s="22">
        <f>IF(AC36="","—",IF(ISNUMBER(SEARCH("大",AC36)),IF(OR(AC36="🔴 全大"),IF(AE36&gt;=4,"xx大x 强·⚠️反转?",IF(AE36=3,"xx大x 强·连3期","xx大x ✅强用")),"xx大x △弱参考"),IF(OR(AC36="🔵 全小"),IF(AE36&gt;=4,"xx小x 强·⚠️反转?",IF(AE36=3,"xx小x 强·连3期","xx小x ✅强用")),"xx小x △弱参考")))</f>
        <v/>
      </c>
      <c r="AH36" s="3" t="n"/>
      <c r="AI36" s="27">
        <f>IF(D36="","",VALUE(MID(TEXT(D36,"0000"),4,1)))</f>
        <v/>
      </c>
      <c r="AJ36" s="27">
        <f>IF(E36="","",VALUE(MID(TEXT(E36,"0000"),4,1)))</f>
        <v/>
      </c>
      <c r="AK36" s="27">
        <f>IF(F36="","",VALUE(MID(TEXT(F36,"0000"),4,1)))</f>
        <v/>
      </c>
      <c r="AL36" s="31">
        <f>IF(D36="","",IF(COUNTIF(AI36:AK36,"&gt;=5")=3,"🔴 全大",IF(COUNTIF(AI36:AK36,"&gt;=5")=0,"🔵 全小",IF(COUNTIF(AI36:AK36,"&gt;=5")=2,"▲ 偏大","▼ 偏小"))))</f>
        <v/>
      </c>
      <c r="AM36" s="31">
        <f>IF(D36="","",IF((MOD(AI36,2)=1)+(MOD(AJ36,2)=1)+(MOD(AK36,2)=1)=3,"⚫ 全单",IF((MOD(AI36,2)=1)+(MOD(AJ36,2)=1)+(MOD(AK36,2)=1)=0,"🟣 全双",IF((MOD(AI36,2)=1)+(MOD(AJ36,2)=1)+(MOD(AK36,2)=1)=2,"◑ 偏单","◑ 偏双"))))</f>
        <v/>
      </c>
      <c r="AN36" s="35">
        <f>IF(D36="","",IF(D35="",1,IF(ISNUMBER(SEARCH("大",AL36))=ISNUMBER(SEARCH("大",AL35)),AN35+1,1)))</f>
        <v/>
      </c>
      <c r="AO36" s="31">
        <f>IF(AN36="","",IF(AN36&gt;=4,"🚨 "&amp;AN36&amp;"期·警惕反转",IF(AN36=3,"⚠️ 3期连续","—")))</f>
        <v/>
      </c>
      <c r="AP36" s="22">
        <f>IF(AL36="","—",IF(ISNUMBER(SEARCH("大",AL36)),IF(OR(AL36="🔴 全大"),IF(AN36&gt;=4,"xxx大 强·⚠️反转?",IF(AN36=3,"xxx大 强·连3期","xxx大 ✅强用")),"xxx大 △弱参考"),IF(OR(AL36="🔵 全小"),IF(AN36&gt;=4,"xxx小 强·⚠️反转?",IF(AN36=3,"xxx小 强·连3期","xxx小 ✅强用")),"xxx小 △弱参考")))</f>
        <v/>
      </c>
      <c r="AQ36" s="3" t="n"/>
      <c r="AR36" s="31">
        <f>IF(OR(D36="",D35=""),"—",IF(K35="","—",IF(ISNUMBER(SEARCH("大",K35)),IF(COUNTIF(H36:J36,"&gt;=5")&gt;=2,"✅","❌"),IF(COUNTIF(H36:J36,"&gt;=5")&lt;=1,"✅","❌"))))</f>
        <v/>
      </c>
      <c r="AS36" s="31">
        <f>IF(OR(D36="",D35=""),"—",IF(T35="","—",IF(ISNUMBER(SEARCH("大",T35)),IF(COUNTIF(Q36:S36,"&gt;=5")&gt;=2,"✅","❌"),IF(COUNTIF(Q36:S36,"&gt;=5")&lt;=1,"✅","❌"))))</f>
        <v/>
      </c>
      <c r="AT36" s="31">
        <f>IF(OR(D36="",D35=""),"—",IF(AC35="","—",IF(ISNUMBER(SEARCH("大",AC35)),IF(COUNTIF(Z36:AB36,"&gt;=5")&gt;=2,"✅","❌"),IF(COUNTIF(Z36:AB36,"&gt;=5")&lt;=1,"✅","❌"))))</f>
        <v/>
      </c>
      <c r="AU36" s="31">
        <f>IF(OR(D36="",D35=""),"—",IF(AL35="","—",IF(ISNUMBER(SEARCH("大",AL35)),IF(COUNTIF(AI36:AK36,"&gt;=5")&gt;=2,"✅","❌"),IF(COUNTIF(AI36:AK36,"&gt;=5")&lt;=1,"✅","❌"))))</f>
        <v/>
      </c>
      <c r="AW36" s="36" t="n"/>
    </row>
    <row r="37" ht="18" customHeight="1">
      <c r="A37" s="16" t="n">
        <v>33</v>
      </c>
      <c r="B37" s="114" t="n"/>
      <c r="C37" s="18" t="n"/>
      <c r="D37" s="115" t="n"/>
      <c r="E37" s="115" t="n"/>
      <c r="F37" s="115" t="n"/>
      <c r="G37" s="3" t="n"/>
      <c r="H37" s="19">
        <f>IF(D37="","",VALUE(MID(TEXT(D37,"0000"),1,1)))</f>
        <v/>
      </c>
      <c r="I37" s="19">
        <f>IF(E37="","",VALUE(MID(TEXT(E37,"0000"),1,1)))</f>
        <v/>
      </c>
      <c r="J37" s="19">
        <f>IF(F37="","",VALUE(MID(TEXT(F37,"0000"),1,1)))</f>
        <v/>
      </c>
      <c r="K37" s="20">
        <f>IF(D37="","",IF(COUNTIF(H37:J37,"&gt;=5")=3,"🔴 全大",IF(COUNTIF(H37:J37,"&gt;=5")=0,"🔵 全小",IF(COUNTIF(H37:J37,"&gt;=5")=2,"▲ 偏大","▼ 偏小"))))</f>
        <v/>
      </c>
      <c r="L37" s="20">
        <f>IF(D37="","",IF((MOD(H37,2)=1)+(MOD(I37,2)=1)+(MOD(J37,2)=1)=3,"⚫ 全单",IF((MOD(H37,2)=1)+(MOD(I37,2)=1)+(MOD(J37,2)=1)=0,"🟣 全双",IF((MOD(H37,2)=1)+(MOD(I37,2)=1)+(MOD(J37,2)=1)=2,"◑ 偏单","◑ 偏双"))))</f>
        <v/>
      </c>
      <c r="M37" s="21">
        <f>IF(D37="","",IF(D36="",1,IF(ISNUMBER(SEARCH("大",K37))=ISNUMBER(SEARCH("大",K36)),M36+1,1)))</f>
        <v/>
      </c>
      <c r="N37" s="20">
        <f>IF(M37="","",IF(M37&gt;=4,"🚨 "&amp;M37&amp;"期·警惕反转",IF(M37=3,"⚠️ 3期连续","—")))</f>
        <v/>
      </c>
      <c r="O37" s="22">
        <f>IF(K37="","—",IF(ISNUMBER(SEARCH("大",K37)),IF(OR(K37="🔴 全大"),IF(M37&gt;=4,"大xxx 强·⚠️反转?",IF(M37=3,"大xxx 强·连3期","大xxx ✅强用")),"大xxx △弱参考"),IF(OR(K37="🔵 全小"),IF(M37&gt;=4,"小xxx 强·⚠️反转?",IF(M37=3,"小xxx 强·连3期","小xxx ✅强用")),"小xxx △弱参考")))</f>
        <v/>
      </c>
      <c r="P37" s="3" t="n"/>
      <c r="Q37" s="23">
        <f>IF(D37="","",VALUE(MID(TEXT(D37,"0000"),2,1)))</f>
        <v/>
      </c>
      <c r="R37" s="23">
        <f>IF(E37="","",VALUE(MID(TEXT(E37,"0000"),2,1)))</f>
        <v/>
      </c>
      <c r="S37" s="23">
        <f>IF(F37="","",VALUE(MID(TEXT(F37,"0000"),2,1)))</f>
        <v/>
      </c>
      <c r="T37" s="20">
        <f>IF(D37="","",IF(COUNTIF(Q37:S37,"&gt;=5")=3,"🔴 全大",IF(COUNTIF(Q37:S37,"&gt;=5")=0,"🔵 全小",IF(COUNTIF(Q37:S37,"&gt;=5")=2,"▲ 偏大","▼ 偏小"))))</f>
        <v/>
      </c>
      <c r="U37" s="20">
        <f>IF(D37="","",IF((MOD(Q37,2)=1)+(MOD(R37,2)=1)+(MOD(S37,2)=1)=3,"⚫ 全单",IF((MOD(Q37,2)=1)+(MOD(R37,2)=1)+(MOD(S37,2)=1)=0,"🟣 全双",IF((MOD(Q37,2)=1)+(MOD(R37,2)=1)+(MOD(S37,2)=1)=2,"◑ 偏单","◑ 偏双"))))</f>
        <v/>
      </c>
      <c r="V37" s="24">
        <f>IF(D37="","",IF(D36="",1,IF(ISNUMBER(SEARCH("大",T37))=ISNUMBER(SEARCH("大",T36)),V36+1,1)))</f>
        <v/>
      </c>
      <c r="W37" s="20">
        <f>IF(V37="","",IF(V37&gt;=4,"🚨 "&amp;V37&amp;"期·警惕反转",IF(V37=3,"⚠️ 3期连续","—")))</f>
        <v/>
      </c>
      <c r="X37" s="22">
        <f>IF(T37="","—",IF(ISNUMBER(SEARCH("大",T37)),IF(OR(T37="🔴 全大"),IF(V37&gt;=4,"x大xx 强·⚠️反转?",IF(V37=3,"x大xx 强·连3期","x大xx ✅强用")),"x大xx △弱参考"),IF(OR(T37="🔵 全小"),IF(V37&gt;=4,"x小xx 强·⚠️反转?",IF(V37=3,"x小xx 强·连3期","x小xx ✅强用")),"x小xx △弱参考")))</f>
        <v/>
      </c>
      <c r="Y37" s="3" t="n"/>
      <c r="Z37" s="25">
        <f>IF(D37="","",VALUE(MID(TEXT(D37,"0000"),3,1)))</f>
        <v/>
      </c>
      <c r="AA37" s="25">
        <f>IF(E37="","",VALUE(MID(TEXT(E37,"0000"),3,1)))</f>
        <v/>
      </c>
      <c r="AB37" s="25">
        <f>IF(F37="","",VALUE(MID(TEXT(F37,"0000"),3,1)))</f>
        <v/>
      </c>
      <c r="AC37" s="20">
        <f>IF(D37="","",IF(COUNTIF(Z37:AB37,"&gt;=5")=3,"🔴 全大",IF(COUNTIF(Z37:AB37,"&gt;=5")=0,"🔵 全小",IF(COUNTIF(Z37:AB37,"&gt;=5")=2,"▲ 偏大","▼ 偏小"))))</f>
        <v/>
      </c>
      <c r="AD37" s="20">
        <f>IF(D37="","",IF((MOD(Z37,2)=1)+(MOD(AA37,2)=1)+(MOD(AB37,2)=1)=3,"⚫ 全单",IF((MOD(Z37,2)=1)+(MOD(AA37,2)=1)+(MOD(AB37,2)=1)=0,"🟣 全双",IF((MOD(Z37,2)=1)+(MOD(AA37,2)=1)+(MOD(AB37,2)=1)=2,"◑ 偏单","◑ 偏双"))))</f>
        <v/>
      </c>
      <c r="AE37" s="26">
        <f>IF(D37="","",IF(D36="",1,IF(ISNUMBER(SEARCH("大",AC37))=ISNUMBER(SEARCH("大",AC36)),AE36+1,1)))</f>
        <v/>
      </c>
      <c r="AF37" s="20">
        <f>IF(AE37="","",IF(AE37&gt;=4,"🚨 "&amp;AE37&amp;"期·警惕反转",IF(AE37=3,"⚠️ 3期连续","—")))</f>
        <v/>
      </c>
      <c r="AG37" s="22">
        <f>IF(AC37="","—",IF(ISNUMBER(SEARCH("大",AC37)),IF(OR(AC37="🔴 全大"),IF(AE37&gt;=4,"xx大x 强·⚠️反转?",IF(AE37=3,"xx大x 强·连3期","xx大x ✅强用")),"xx大x △弱参考"),IF(OR(AC37="🔵 全小"),IF(AE37&gt;=4,"xx小x 强·⚠️反转?",IF(AE37=3,"xx小x 强·连3期","xx小x ✅强用")),"xx小x △弱参考")))</f>
        <v/>
      </c>
      <c r="AH37" s="3" t="n"/>
      <c r="AI37" s="27">
        <f>IF(D37="","",VALUE(MID(TEXT(D37,"0000"),4,1)))</f>
        <v/>
      </c>
      <c r="AJ37" s="27">
        <f>IF(E37="","",VALUE(MID(TEXT(E37,"0000"),4,1)))</f>
        <v/>
      </c>
      <c r="AK37" s="27">
        <f>IF(F37="","",VALUE(MID(TEXT(F37,"0000"),4,1)))</f>
        <v/>
      </c>
      <c r="AL37" s="20">
        <f>IF(D37="","",IF(COUNTIF(AI37:AK37,"&gt;=5")=3,"🔴 全大",IF(COUNTIF(AI37:AK37,"&gt;=5")=0,"🔵 全小",IF(COUNTIF(AI37:AK37,"&gt;=5")=2,"▲ 偏大","▼ 偏小"))))</f>
        <v/>
      </c>
      <c r="AM37" s="20">
        <f>IF(D37="","",IF((MOD(AI37,2)=1)+(MOD(AJ37,2)=1)+(MOD(AK37,2)=1)=3,"⚫ 全单",IF((MOD(AI37,2)=1)+(MOD(AJ37,2)=1)+(MOD(AK37,2)=1)=0,"🟣 全双",IF((MOD(AI37,2)=1)+(MOD(AJ37,2)=1)+(MOD(AK37,2)=1)=2,"◑ 偏单","◑ 偏双"))))</f>
        <v/>
      </c>
      <c r="AN37" s="28">
        <f>IF(D37="","",IF(D36="",1,IF(ISNUMBER(SEARCH("大",AL37))=ISNUMBER(SEARCH("大",AL36)),AN36+1,1)))</f>
        <v/>
      </c>
      <c r="AO37" s="20">
        <f>IF(AN37="","",IF(AN37&gt;=4,"🚨 "&amp;AN37&amp;"期·警惕反转",IF(AN37=3,"⚠️ 3期连续","—")))</f>
        <v/>
      </c>
      <c r="AP37" s="22">
        <f>IF(AL37="","—",IF(ISNUMBER(SEARCH("大",AL37)),IF(OR(AL37="🔴 全大"),IF(AN37&gt;=4,"xxx大 强·⚠️反转?",IF(AN37=3,"xxx大 强·连3期","xxx大 ✅强用")),"xxx大 △弱参考"),IF(OR(AL37="🔵 全小"),IF(AN37&gt;=4,"xxx小 强·⚠️反转?",IF(AN37=3,"xxx小 强·连3期","xxx小 ✅强用")),"xxx小 △弱参考")))</f>
        <v/>
      </c>
      <c r="AQ37" s="3" t="n"/>
      <c r="AR37" s="20">
        <f>IF(OR(D37="",D36=""),"—",IF(K36="","—",IF(ISNUMBER(SEARCH("大",K36)),IF(COUNTIF(H37:J37,"&gt;=5")&gt;=2,"✅","❌"),IF(COUNTIF(H37:J37,"&gt;=5")&lt;=1,"✅","❌"))))</f>
        <v/>
      </c>
      <c r="AS37" s="20">
        <f>IF(OR(D37="",D36=""),"—",IF(T36="","—",IF(ISNUMBER(SEARCH("大",T36)),IF(COUNTIF(Q37:S37,"&gt;=5")&gt;=2,"✅","❌"),IF(COUNTIF(Q37:S37,"&gt;=5")&lt;=1,"✅","❌"))))</f>
        <v/>
      </c>
      <c r="AT37" s="20">
        <f>IF(OR(D37="",D36=""),"—",IF(AC36="","—",IF(ISNUMBER(SEARCH("大",AC36)),IF(COUNTIF(Z37:AB37,"&gt;=5")&gt;=2,"✅","❌"),IF(COUNTIF(Z37:AB37,"&gt;=5")&lt;=1,"✅","❌"))))</f>
        <v/>
      </c>
      <c r="AU37" s="20">
        <f>IF(OR(D37="",D36=""),"—",IF(AL36="","—",IF(ISNUMBER(SEARCH("大",AL36)),IF(COUNTIF(AI37:AK37,"&gt;=5")&gt;=2,"✅","❌"),IF(COUNTIF(AI37:AK37,"&gt;=5")&lt;=1,"✅","❌"))))</f>
        <v/>
      </c>
      <c r="AW37" s="30" t="n"/>
    </row>
    <row r="38" ht="18" customHeight="1">
      <c r="A38" s="16" t="n">
        <v>34</v>
      </c>
      <c r="B38" s="116" t="n"/>
      <c r="C38" s="40" t="n"/>
      <c r="D38" s="117" t="n"/>
      <c r="E38" s="117" t="n"/>
      <c r="F38" s="117" t="n"/>
      <c r="G38" s="3" t="n"/>
      <c r="H38" s="19">
        <f>IF(D38="","",VALUE(MID(TEXT(D38,"0000"),1,1)))</f>
        <v/>
      </c>
      <c r="I38" s="19">
        <f>IF(E38="","",VALUE(MID(TEXT(E38,"0000"),1,1)))</f>
        <v/>
      </c>
      <c r="J38" s="19">
        <f>IF(F38="","",VALUE(MID(TEXT(F38,"0000"),1,1)))</f>
        <v/>
      </c>
      <c r="K38" s="31">
        <f>IF(D38="","",IF(COUNTIF(H38:J38,"&gt;=5")=3,"🔴 全大",IF(COUNTIF(H38:J38,"&gt;=5")=0,"🔵 全小",IF(COUNTIF(H38:J38,"&gt;=5")=2,"▲ 偏大","▼ 偏小"))))</f>
        <v/>
      </c>
      <c r="L38" s="31">
        <f>IF(D38="","",IF((MOD(H38,2)=1)+(MOD(I38,2)=1)+(MOD(J38,2)=1)=3,"⚫ 全单",IF((MOD(H38,2)=1)+(MOD(I38,2)=1)+(MOD(J38,2)=1)=0,"🟣 全双",IF((MOD(H38,2)=1)+(MOD(I38,2)=1)+(MOD(J38,2)=1)=2,"◑ 偏单","◑ 偏双"))))</f>
        <v/>
      </c>
      <c r="M38" s="32">
        <f>IF(D38="","",IF(D37="",1,IF(ISNUMBER(SEARCH("大",K38))=ISNUMBER(SEARCH("大",K37)),M37+1,1)))</f>
        <v/>
      </c>
      <c r="N38" s="31">
        <f>IF(M38="","",IF(M38&gt;=4,"🚨 "&amp;M38&amp;"期·警惕反转",IF(M38=3,"⚠️ 3期连续","—")))</f>
        <v/>
      </c>
      <c r="O38" s="22">
        <f>IF(K38="","—",IF(ISNUMBER(SEARCH("大",K38)),IF(OR(K38="🔴 全大"),IF(M38&gt;=4,"大xxx 强·⚠️反转?",IF(M38=3,"大xxx 强·连3期","大xxx ✅强用")),"大xxx △弱参考"),IF(OR(K38="🔵 全小"),IF(M38&gt;=4,"小xxx 强·⚠️反转?",IF(M38=3,"小xxx 强·连3期","小xxx ✅强用")),"小xxx △弱参考")))</f>
        <v/>
      </c>
      <c r="P38" s="3" t="n"/>
      <c r="Q38" s="23">
        <f>IF(D38="","",VALUE(MID(TEXT(D38,"0000"),2,1)))</f>
        <v/>
      </c>
      <c r="R38" s="23">
        <f>IF(E38="","",VALUE(MID(TEXT(E38,"0000"),2,1)))</f>
        <v/>
      </c>
      <c r="S38" s="23">
        <f>IF(F38="","",VALUE(MID(TEXT(F38,"0000"),2,1)))</f>
        <v/>
      </c>
      <c r="T38" s="31">
        <f>IF(D38="","",IF(COUNTIF(Q38:S38,"&gt;=5")=3,"🔴 全大",IF(COUNTIF(Q38:S38,"&gt;=5")=0,"🔵 全小",IF(COUNTIF(Q38:S38,"&gt;=5")=2,"▲ 偏大","▼ 偏小"))))</f>
        <v/>
      </c>
      <c r="U38" s="31">
        <f>IF(D38="","",IF((MOD(Q38,2)=1)+(MOD(R38,2)=1)+(MOD(S38,2)=1)=3,"⚫ 全单",IF((MOD(Q38,2)=1)+(MOD(R38,2)=1)+(MOD(S38,2)=1)=0,"🟣 全双",IF((MOD(Q38,2)=1)+(MOD(R38,2)=1)+(MOD(S38,2)=1)=2,"◑ 偏单","◑ 偏双"))))</f>
        <v/>
      </c>
      <c r="V38" s="33">
        <f>IF(D38="","",IF(D37="",1,IF(ISNUMBER(SEARCH("大",T38))=ISNUMBER(SEARCH("大",T37)),V37+1,1)))</f>
        <v/>
      </c>
      <c r="W38" s="31">
        <f>IF(V38="","",IF(V38&gt;=4,"🚨 "&amp;V38&amp;"期·警惕反转",IF(V38=3,"⚠️ 3期连续","—")))</f>
        <v/>
      </c>
      <c r="X38" s="22">
        <f>IF(T38="","—",IF(ISNUMBER(SEARCH("大",T38)),IF(OR(T38="🔴 全大"),IF(V38&gt;=4,"x大xx 强·⚠️反转?",IF(V38=3,"x大xx 强·连3期","x大xx ✅强用")),"x大xx △弱参考"),IF(OR(T38="🔵 全小"),IF(V38&gt;=4,"x小xx 强·⚠️反转?",IF(V38=3,"x小xx 强·连3期","x小xx ✅强用")),"x小xx △弱参考")))</f>
        <v/>
      </c>
      <c r="Y38" s="3" t="n"/>
      <c r="Z38" s="25">
        <f>IF(D38="","",VALUE(MID(TEXT(D38,"0000"),3,1)))</f>
        <v/>
      </c>
      <c r="AA38" s="25">
        <f>IF(E38="","",VALUE(MID(TEXT(E38,"0000"),3,1)))</f>
        <v/>
      </c>
      <c r="AB38" s="25">
        <f>IF(F38="","",VALUE(MID(TEXT(F38,"0000"),3,1)))</f>
        <v/>
      </c>
      <c r="AC38" s="31">
        <f>IF(D38="","",IF(COUNTIF(Z38:AB38,"&gt;=5")=3,"🔴 全大",IF(COUNTIF(Z38:AB38,"&gt;=5")=0,"🔵 全小",IF(COUNTIF(Z38:AB38,"&gt;=5")=2,"▲ 偏大","▼ 偏小"))))</f>
        <v/>
      </c>
      <c r="AD38" s="31">
        <f>IF(D38="","",IF((MOD(Z38,2)=1)+(MOD(AA38,2)=1)+(MOD(AB38,2)=1)=3,"⚫ 全单",IF((MOD(Z38,2)=1)+(MOD(AA38,2)=1)+(MOD(AB38,2)=1)=0,"🟣 全双",IF((MOD(Z38,2)=1)+(MOD(AA38,2)=1)+(MOD(AB38,2)=1)=2,"◑ 偏单","◑ 偏双"))))</f>
        <v/>
      </c>
      <c r="AE38" s="34">
        <f>IF(D38="","",IF(D37="",1,IF(ISNUMBER(SEARCH("大",AC38))=ISNUMBER(SEARCH("大",AC37)),AE37+1,1)))</f>
        <v/>
      </c>
      <c r="AF38" s="31">
        <f>IF(AE38="","",IF(AE38&gt;=4,"🚨 "&amp;AE38&amp;"期·警惕反转",IF(AE38=3,"⚠️ 3期连续","—")))</f>
        <v/>
      </c>
      <c r="AG38" s="22">
        <f>IF(AC38="","—",IF(ISNUMBER(SEARCH("大",AC38)),IF(OR(AC38="🔴 全大"),IF(AE38&gt;=4,"xx大x 强·⚠️反转?",IF(AE38=3,"xx大x 强·连3期","xx大x ✅强用")),"xx大x △弱参考"),IF(OR(AC38="🔵 全小"),IF(AE38&gt;=4,"xx小x 强·⚠️反转?",IF(AE38=3,"xx小x 强·连3期","xx小x ✅强用")),"xx小x △弱参考")))</f>
        <v/>
      </c>
      <c r="AH38" s="3" t="n"/>
      <c r="AI38" s="27">
        <f>IF(D38="","",VALUE(MID(TEXT(D38,"0000"),4,1)))</f>
        <v/>
      </c>
      <c r="AJ38" s="27">
        <f>IF(E38="","",VALUE(MID(TEXT(E38,"0000"),4,1)))</f>
        <v/>
      </c>
      <c r="AK38" s="27">
        <f>IF(F38="","",VALUE(MID(TEXT(F38,"0000"),4,1)))</f>
        <v/>
      </c>
      <c r="AL38" s="31">
        <f>IF(D38="","",IF(COUNTIF(AI38:AK38,"&gt;=5")=3,"🔴 全大",IF(COUNTIF(AI38:AK38,"&gt;=5")=0,"🔵 全小",IF(COUNTIF(AI38:AK38,"&gt;=5")=2,"▲ 偏大","▼ 偏小"))))</f>
        <v/>
      </c>
      <c r="AM38" s="31">
        <f>IF(D38="","",IF((MOD(AI38,2)=1)+(MOD(AJ38,2)=1)+(MOD(AK38,2)=1)=3,"⚫ 全单",IF((MOD(AI38,2)=1)+(MOD(AJ38,2)=1)+(MOD(AK38,2)=1)=0,"🟣 全双",IF((MOD(AI38,2)=1)+(MOD(AJ38,2)=1)+(MOD(AK38,2)=1)=2,"◑ 偏单","◑ 偏双"))))</f>
        <v/>
      </c>
      <c r="AN38" s="35">
        <f>IF(D38="","",IF(D37="",1,IF(ISNUMBER(SEARCH("大",AL38))=ISNUMBER(SEARCH("大",AL37)),AN37+1,1)))</f>
        <v/>
      </c>
      <c r="AO38" s="31">
        <f>IF(AN38="","",IF(AN38&gt;=4,"🚨 "&amp;AN38&amp;"期·警惕反转",IF(AN38=3,"⚠️ 3期连续","—")))</f>
        <v/>
      </c>
      <c r="AP38" s="22">
        <f>IF(AL38="","—",IF(ISNUMBER(SEARCH("大",AL38)),IF(OR(AL38="🔴 全大"),IF(AN38&gt;=4,"xxx大 强·⚠️反转?",IF(AN38=3,"xxx大 强·连3期","xxx大 ✅强用")),"xxx大 △弱参考"),IF(OR(AL38="🔵 全小"),IF(AN38&gt;=4,"xxx小 强·⚠️反转?",IF(AN38=3,"xxx小 强·连3期","xxx小 ✅强用")),"xxx小 △弱参考")))</f>
        <v/>
      </c>
      <c r="AQ38" s="3" t="n"/>
      <c r="AR38" s="31">
        <f>IF(OR(D38="",D37=""),"—",IF(K37="","—",IF(ISNUMBER(SEARCH("大",K37)),IF(COUNTIF(H38:J38,"&gt;=5")&gt;=2,"✅","❌"),IF(COUNTIF(H38:J38,"&gt;=5")&lt;=1,"✅","❌"))))</f>
        <v/>
      </c>
      <c r="AS38" s="31">
        <f>IF(OR(D38="",D37=""),"—",IF(T37="","—",IF(ISNUMBER(SEARCH("大",T37)),IF(COUNTIF(Q38:S38,"&gt;=5")&gt;=2,"✅","❌"),IF(COUNTIF(Q38:S38,"&gt;=5")&lt;=1,"✅","❌"))))</f>
        <v/>
      </c>
      <c r="AT38" s="31">
        <f>IF(OR(D38="",D37=""),"—",IF(AC37="","—",IF(ISNUMBER(SEARCH("大",AC37)),IF(COUNTIF(Z38:AB38,"&gt;=5")&gt;=2,"✅","❌"),IF(COUNTIF(Z38:AB38,"&gt;=5")&lt;=1,"✅","❌"))))</f>
        <v/>
      </c>
      <c r="AU38" s="31">
        <f>IF(OR(D38="",D37=""),"—",IF(AL37="","—",IF(ISNUMBER(SEARCH("大",AL37)),IF(COUNTIF(AI38:AK38,"&gt;=5")&gt;=2,"✅","❌"),IF(COUNTIF(AI38:AK38,"&gt;=5")&lt;=1,"✅","❌"))))</f>
        <v/>
      </c>
      <c r="AW38" s="36" t="n"/>
    </row>
    <row r="39" ht="18" customHeight="1">
      <c r="A39" s="16" t="n">
        <v>35</v>
      </c>
      <c r="B39" s="114" t="n"/>
      <c r="C39" s="18" t="n"/>
      <c r="D39" s="115" t="n"/>
      <c r="E39" s="115" t="n"/>
      <c r="F39" s="115" t="n"/>
      <c r="G39" s="3" t="n"/>
      <c r="H39" s="19">
        <f>IF(D39="","",VALUE(MID(TEXT(D39,"0000"),1,1)))</f>
        <v/>
      </c>
      <c r="I39" s="19">
        <f>IF(E39="","",VALUE(MID(TEXT(E39,"0000"),1,1)))</f>
        <v/>
      </c>
      <c r="J39" s="19">
        <f>IF(F39="","",VALUE(MID(TEXT(F39,"0000"),1,1)))</f>
        <v/>
      </c>
      <c r="K39" s="20">
        <f>IF(D39="","",IF(COUNTIF(H39:J39,"&gt;=5")=3,"🔴 全大",IF(COUNTIF(H39:J39,"&gt;=5")=0,"🔵 全小",IF(COUNTIF(H39:J39,"&gt;=5")=2,"▲ 偏大","▼ 偏小"))))</f>
        <v/>
      </c>
      <c r="L39" s="20">
        <f>IF(D39="","",IF((MOD(H39,2)=1)+(MOD(I39,2)=1)+(MOD(J39,2)=1)=3,"⚫ 全单",IF((MOD(H39,2)=1)+(MOD(I39,2)=1)+(MOD(J39,2)=1)=0,"🟣 全双",IF((MOD(H39,2)=1)+(MOD(I39,2)=1)+(MOD(J39,2)=1)=2,"◑ 偏单","◑ 偏双"))))</f>
        <v/>
      </c>
      <c r="M39" s="21">
        <f>IF(D39="","",IF(D38="",1,IF(ISNUMBER(SEARCH("大",K39))=ISNUMBER(SEARCH("大",K38)),M38+1,1)))</f>
        <v/>
      </c>
      <c r="N39" s="20">
        <f>IF(M39="","",IF(M39&gt;=4,"🚨 "&amp;M39&amp;"期·警惕反转",IF(M39=3,"⚠️ 3期连续","—")))</f>
        <v/>
      </c>
      <c r="O39" s="22">
        <f>IF(K39="","—",IF(ISNUMBER(SEARCH("大",K39)),IF(OR(K39="🔴 全大"),IF(M39&gt;=4,"大xxx 强·⚠️反转?",IF(M39=3,"大xxx 强·连3期","大xxx ✅强用")),"大xxx △弱参考"),IF(OR(K39="🔵 全小"),IF(M39&gt;=4,"小xxx 强·⚠️反转?",IF(M39=3,"小xxx 强·连3期","小xxx ✅强用")),"小xxx △弱参考")))</f>
        <v/>
      </c>
      <c r="P39" s="3" t="n"/>
      <c r="Q39" s="23">
        <f>IF(D39="","",VALUE(MID(TEXT(D39,"0000"),2,1)))</f>
        <v/>
      </c>
      <c r="R39" s="23">
        <f>IF(E39="","",VALUE(MID(TEXT(E39,"0000"),2,1)))</f>
        <v/>
      </c>
      <c r="S39" s="23">
        <f>IF(F39="","",VALUE(MID(TEXT(F39,"0000"),2,1)))</f>
        <v/>
      </c>
      <c r="T39" s="20">
        <f>IF(D39="","",IF(COUNTIF(Q39:S39,"&gt;=5")=3,"🔴 全大",IF(COUNTIF(Q39:S39,"&gt;=5")=0,"🔵 全小",IF(COUNTIF(Q39:S39,"&gt;=5")=2,"▲ 偏大","▼ 偏小"))))</f>
        <v/>
      </c>
      <c r="U39" s="20">
        <f>IF(D39="","",IF((MOD(Q39,2)=1)+(MOD(R39,2)=1)+(MOD(S39,2)=1)=3,"⚫ 全单",IF((MOD(Q39,2)=1)+(MOD(R39,2)=1)+(MOD(S39,2)=1)=0,"🟣 全双",IF((MOD(Q39,2)=1)+(MOD(R39,2)=1)+(MOD(S39,2)=1)=2,"◑ 偏单","◑ 偏双"))))</f>
        <v/>
      </c>
      <c r="V39" s="24">
        <f>IF(D39="","",IF(D38="",1,IF(ISNUMBER(SEARCH("大",T39))=ISNUMBER(SEARCH("大",T38)),V38+1,1)))</f>
        <v/>
      </c>
      <c r="W39" s="20">
        <f>IF(V39="","",IF(V39&gt;=4,"🚨 "&amp;V39&amp;"期·警惕反转",IF(V39=3,"⚠️ 3期连续","—")))</f>
        <v/>
      </c>
      <c r="X39" s="22">
        <f>IF(T39="","—",IF(ISNUMBER(SEARCH("大",T39)),IF(OR(T39="🔴 全大"),IF(V39&gt;=4,"x大xx 强·⚠️反转?",IF(V39=3,"x大xx 强·连3期","x大xx ✅强用")),"x大xx △弱参考"),IF(OR(T39="🔵 全小"),IF(V39&gt;=4,"x小xx 强·⚠️反转?",IF(V39=3,"x小xx 强·连3期","x小xx ✅强用")),"x小xx △弱参考")))</f>
        <v/>
      </c>
      <c r="Y39" s="3" t="n"/>
      <c r="Z39" s="25">
        <f>IF(D39="","",VALUE(MID(TEXT(D39,"0000"),3,1)))</f>
        <v/>
      </c>
      <c r="AA39" s="25">
        <f>IF(E39="","",VALUE(MID(TEXT(E39,"0000"),3,1)))</f>
        <v/>
      </c>
      <c r="AB39" s="25">
        <f>IF(F39="","",VALUE(MID(TEXT(F39,"0000"),3,1)))</f>
        <v/>
      </c>
      <c r="AC39" s="20">
        <f>IF(D39="","",IF(COUNTIF(Z39:AB39,"&gt;=5")=3,"🔴 全大",IF(COUNTIF(Z39:AB39,"&gt;=5")=0,"🔵 全小",IF(COUNTIF(Z39:AB39,"&gt;=5")=2,"▲ 偏大","▼ 偏小"))))</f>
        <v/>
      </c>
      <c r="AD39" s="20">
        <f>IF(D39="","",IF((MOD(Z39,2)=1)+(MOD(AA39,2)=1)+(MOD(AB39,2)=1)=3,"⚫ 全单",IF((MOD(Z39,2)=1)+(MOD(AA39,2)=1)+(MOD(AB39,2)=1)=0,"🟣 全双",IF((MOD(Z39,2)=1)+(MOD(AA39,2)=1)+(MOD(AB39,2)=1)=2,"◑ 偏单","◑ 偏双"))))</f>
        <v/>
      </c>
      <c r="AE39" s="26">
        <f>IF(D39="","",IF(D38="",1,IF(ISNUMBER(SEARCH("大",AC39))=ISNUMBER(SEARCH("大",AC38)),AE38+1,1)))</f>
        <v/>
      </c>
      <c r="AF39" s="20">
        <f>IF(AE39="","",IF(AE39&gt;=4,"🚨 "&amp;AE39&amp;"期·警惕反转",IF(AE39=3,"⚠️ 3期连续","—")))</f>
        <v/>
      </c>
      <c r="AG39" s="22">
        <f>IF(AC39="","—",IF(ISNUMBER(SEARCH("大",AC39)),IF(OR(AC39="🔴 全大"),IF(AE39&gt;=4,"xx大x 强·⚠️反转?",IF(AE39=3,"xx大x 强·连3期","xx大x ✅强用")),"xx大x △弱参考"),IF(OR(AC39="🔵 全小"),IF(AE39&gt;=4,"xx小x 强·⚠️反转?",IF(AE39=3,"xx小x 强·连3期","xx小x ✅强用")),"xx小x △弱参考")))</f>
        <v/>
      </c>
      <c r="AH39" s="3" t="n"/>
      <c r="AI39" s="27">
        <f>IF(D39="","",VALUE(MID(TEXT(D39,"0000"),4,1)))</f>
        <v/>
      </c>
      <c r="AJ39" s="27">
        <f>IF(E39="","",VALUE(MID(TEXT(E39,"0000"),4,1)))</f>
        <v/>
      </c>
      <c r="AK39" s="27">
        <f>IF(F39="","",VALUE(MID(TEXT(F39,"0000"),4,1)))</f>
        <v/>
      </c>
      <c r="AL39" s="20">
        <f>IF(D39="","",IF(COUNTIF(AI39:AK39,"&gt;=5")=3,"🔴 全大",IF(COUNTIF(AI39:AK39,"&gt;=5")=0,"🔵 全小",IF(COUNTIF(AI39:AK39,"&gt;=5")=2,"▲ 偏大","▼ 偏小"))))</f>
        <v/>
      </c>
      <c r="AM39" s="20">
        <f>IF(D39="","",IF((MOD(AI39,2)=1)+(MOD(AJ39,2)=1)+(MOD(AK39,2)=1)=3,"⚫ 全单",IF((MOD(AI39,2)=1)+(MOD(AJ39,2)=1)+(MOD(AK39,2)=1)=0,"🟣 全双",IF((MOD(AI39,2)=1)+(MOD(AJ39,2)=1)+(MOD(AK39,2)=1)=2,"◑ 偏单","◑ 偏双"))))</f>
        <v/>
      </c>
      <c r="AN39" s="28">
        <f>IF(D39="","",IF(D38="",1,IF(ISNUMBER(SEARCH("大",AL39))=ISNUMBER(SEARCH("大",AL38)),AN38+1,1)))</f>
        <v/>
      </c>
      <c r="AO39" s="20">
        <f>IF(AN39="","",IF(AN39&gt;=4,"🚨 "&amp;AN39&amp;"期·警惕反转",IF(AN39=3,"⚠️ 3期连续","—")))</f>
        <v/>
      </c>
      <c r="AP39" s="22">
        <f>IF(AL39="","—",IF(ISNUMBER(SEARCH("大",AL39)),IF(OR(AL39="🔴 全大"),IF(AN39&gt;=4,"xxx大 强·⚠️反转?",IF(AN39=3,"xxx大 强·连3期","xxx大 ✅强用")),"xxx大 △弱参考"),IF(OR(AL39="🔵 全小"),IF(AN39&gt;=4,"xxx小 强·⚠️反转?",IF(AN39=3,"xxx小 强·连3期","xxx小 ✅强用")),"xxx小 △弱参考")))</f>
        <v/>
      </c>
      <c r="AQ39" s="3" t="n"/>
      <c r="AR39" s="20">
        <f>IF(OR(D39="",D38=""),"—",IF(K38="","—",IF(ISNUMBER(SEARCH("大",K38)),IF(COUNTIF(H39:J39,"&gt;=5")&gt;=2,"✅","❌"),IF(COUNTIF(H39:J39,"&gt;=5")&lt;=1,"✅","❌"))))</f>
        <v/>
      </c>
      <c r="AS39" s="20">
        <f>IF(OR(D39="",D38=""),"—",IF(T38="","—",IF(ISNUMBER(SEARCH("大",T38)),IF(COUNTIF(Q39:S39,"&gt;=5")&gt;=2,"✅","❌"),IF(COUNTIF(Q39:S39,"&gt;=5")&lt;=1,"✅","❌"))))</f>
        <v/>
      </c>
      <c r="AT39" s="20">
        <f>IF(OR(D39="",D38=""),"—",IF(AC38="","—",IF(ISNUMBER(SEARCH("大",AC38)),IF(COUNTIF(Z39:AB39,"&gt;=5")&gt;=2,"✅","❌"),IF(COUNTIF(Z39:AB39,"&gt;=5")&lt;=1,"✅","❌"))))</f>
        <v/>
      </c>
      <c r="AU39" s="20">
        <f>IF(OR(D39="",D38=""),"—",IF(AL38="","—",IF(ISNUMBER(SEARCH("大",AL38)),IF(COUNTIF(AI39:AK39,"&gt;=5")&gt;=2,"✅","❌"),IF(COUNTIF(AI39:AK39,"&gt;=5")&lt;=1,"✅","❌"))))</f>
        <v/>
      </c>
      <c r="AW39" s="30" t="n"/>
    </row>
    <row r="40" ht="18" customHeight="1">
      <c r="A40" s="16" t="n">
        <v>36</v>
      </c>
      <c r="B40" s="116" t="n"/>
      <c r="C40" s="40" t="n"/>
      <c r="D40" s="117" t="n"/>
      <c r="E40" s="117" t="n"/>
      <c r="F40" s="117" t="n"/>
      <c r="G40" s="3" t="n"/>
      <c r="H40" s="19">
        <f>IF(D40="","",VALUE(MID(TEXT(D40,"0000"),1,1)))</f>
        <v/>
      </c>
      <c r="I40" s="19">
        <f>IF(E40="","",VALUE(MID(TEXT(E40,"0000"),1,1)))</f>
        <v/>
      </c>
      <c r="J40" s="19">
        <f>IF(F40="","",VALUE(MID(TEXT(F40,"0000"),1,1)))</f>
        <v/>
      </c>
      <c r="K40" s="31">
        <f>IF(D40="","",IF(COUNTIF(H40:J40,"&gt;=5")=3,"🔴 全大",IF(COUNTIF(H40:J40,"&gt;=5")=0,"🔵 全小",IF(COUNTIF(H40:J40,"&gt;=5")=2,"▲ 偏大","▼ 偏小"))))</f>
        <v/>
      </c>
      <c r="L40" s="31">
        <f>IF(D40="","",IF((MOD(H40,2)=1)+(MOD(I40,2)=1)+(MOD(J40,2)=1)=3,"⚫ 全单",IF((MOD(H40,2)=1)+(MOD(I40,2)=1)+(MOD(J40,2)=1)=0,"🟣 全双",IF((MOD(H40,2)=1)+(MOD(I40,2)=1)+(MOD(J40,2)=1)=2,"◑ 偏单","◑ 偏双"))))</f>
        <v/>
      </c>
      <c r="M40" s="32">
        <f>IF(D40="","",IF(D39="",1,IF(ISNUMBER(SEARCH("大",K40))=ISNUMBER(SEARCH("大",K39)),M39+1,1)))</f>
        <v/>
      </c>
      <c r="N40" s="31">
        <f>IF(M40="","",IF(M40&gt;=4,"🚨 "&amp;M40&amp;"期·警惕反转",IF(M40=3,"⚠️ 3期连续","—")))</f>
        <v/>
      </c>
      <c r="O40" s="22">
        <f>IF(K40="","—",IF(ISNUMBER(SEARCH("大",K40)),IF(OR(K40="🔴 全大"),IF(M40&gt;=4,"大xxx 强·⚠️反转?",IF(M40=3,"大xxx 强·连3期","大xxx ✅强用")),"大xxx △弱参考"),IF(OR(K40="🔵 全小"),IF(M40&gt;=4,"小xxx 强·⚠️反转?",IF(M40=3,"小xxx 强·连3期","小xxx ✅强用")),"小xxx △弱参考")))</f>
        <v/>
      </c>
      <c r="P40" s="3" t="n"/>
      <c r="Q40" s="23">
        <f>IF(D40="","",VALUE(MID(TEXT(D40,"0000"),2,1)))</f>
        <v/>
      </c>
      <c r="R40" s="23">
        <f>IF(E40="","",VALUE(MID(TEXT(E40,"0000"),2,1)))</f>
        <v/>
      </c>
      <c r="S40" s="23">
        <f>IF(F40="","",VALUE(MID(TEXT(F40,"0000"),2,1)))</f>
        <v/>
      </c>
      <c r="T40" s="31">
        <f>IF(D40="","",IF(COUNTIF(Q40:S40,"&gt;=5")=3,"🔴 全大",IF(COUNTIF(Q40:S40,"&gt;=5")=0,"🔵 全小",IF(COUNTIF(Q40:S40,"&gt;=5")=2,"▲ 偏大","▼ 偏小"))))</f>
        <v/>
      </c>
      <c r="U40" s="31">
        <f>IF(D40="","",IF((MOD(Q40,2)=1)+(MOD(R40,2)=1)+(MOD(S40,2)=1)=3,"⚫ 全单",IF((MOD(Q40,2)=1)+(MOD(R40,2)=1)+(MOD(S40,2)=1)=0,"🟣 全双",IF((MOD(Q40,2)=1)+(MOD(R40,2)=1)+(MOD(S40,2)=1)=2,"◑ 偏单","◑ 偏双"))))</f>
        <v/>
      </c>
      <c r="V40" s="33">
        <f>IF(D40="","",IF(D39="",1,IF(ISNUMBER(SEARCH("大",T40))=ISNUMBER(SEARCH("大",T39)),V39+1,1)))</f>
        <v/>
      </c>
      <c r="W40" s="31">
        <f>IF(V40="","",IF(V40&gt;=4,"🚨 "&amp;V40&amp;"期·警惕反转",IF(V40=3,"⚠️ 3期连续","—")))</f>
        <v/>
      </c>
      <c r="X40" s="22">
        <f>IF(T40="","—",IF(ISNUMBER(SEARCH("大",T40)),IF(OR(T40="🔴 全大"),IF(V40&gt;=4,"x大xx 强·⚠️反转?",IF(V40=3,"x大xx 强·连3期","x大xx ✅强用")),"x大xx △弱参考"),IF(OR(T40="🔵 全小"),IF(V40&gt;=4,"x小xx 强·⚠️反转?",IF(V40=3,"x小xx 强·连3期","x小xx ✅强用")),"x小xx △弱参考")))</f>
        <v/>
      </c>
      <c r="Y40" s="3" t="n"/>
      <c r="Z40" s="25">
        <f>IF(D40="","",VALUE(MID(TEXT(D40,"0000"),3,1)))</f>
        <v/>
      </c>
      <c r="AA40" s="25">
        <f>IF(E40="","",VALUE(MID(TEXT(E40,"0000"),3,1)))</f>
        <v/>
      </c>
      <c r="AB40" s="25">
        <f>IF(F40="","",VALUE(MID(TEXT(F40,"0000"),3,1)))</f>
        <v/>
      </c>
      <c r="AC40" s="31">
        <f>IF(D40="","",IF(COUNTIF(Z40:AB40,"&gt;=5")=3,"🔴 全大",IF(COUNTIF(Z40:AB40,"&gt;=5")=0,"🔵 全小",IF(COUNTIF(Z40:AB40,"&gt;=5")=2,"▲ 偏大","▼ 偏小"))))</f>
        <v/>
      </c>
      <c r="AD40" s="31">
        <f>IF(D40="","",IF((MOD(Z40,2)=1)+(MOD(AA40,2)=1)+(MOD(AB40,2)=1)=3,"⚫ 全单",IF((MOD(Z40,2)=1)+(MOD(AA40,2)=1)+(MOD(AB40,2)=1)=0,"🟣 全双",IF((MOD(Z40,2)=1)+(MOD(AA40,2)=1)+(MOD(AB40,2)=1)=2,"◑ 偏单","◑ 偏双"))))</f>
        <v/>
      </c>
      <c r="AE40" s="34">
        <f>IF(D40="","",IF(D39="",1,IF(ISNUMBER(SEARCH("大",AC40))=ISNUMBER(SEARCH("大",AC39)),AE39+1,1)))</f>
        <v/>
      </c>
      <c r="AF40" s="31">
        <f>IF(AE40="","",IF(AE40&gt;=4,"🚨 "&amp;AE40&amp;"期·警惕反转",IF(AE40=3,"⚠️ 3期连续","—")))</f>
        <v/>
      </c>
      <c r="AG40" s="22">
        <f>IF(AC40="","—",IF(ISNUMBER(SEARCH("大",AC40)),IF(OR(AC40="🔴 全大"),IF(AE40&gt;=4,"xx大x 强·⚠️反转?",IF(AE40=3,"xx大x 强·连3期","xx大x ✅强用")),"xx大x △弱参考"),IF(OR(AC40="🔵 全小"),IF(AE40&gt;=4,"xx小x 强·⚠️反转?",IF(AE40=3,"xx小x 强·连3期","xx小x ✅强用")),"xx小x △弱参考")))</f>
        <v/>
      </c>
      <c r="AH40" s="3" t="n"/>
      <c r="AI40" s="27">
        <f>IF(D40="","",VALUE(MID(TEXT(D40,"0000"),4,1)))</f>
        <v/>
      </c>
      <c r="AJ40" s="27">
        <f>IF(E40="","",VALUE(MID(TEXT(E40,"0000"),4,1)))</f>
        <v/>
      </c>
      <c r="AK40" s="27">
        <f>IF(F40="","",VALUE(MID(TEXT(F40,"0000"),4,1)))</f>
        <v/>
      </c>
      <c r="AL40" s="31">
        <f>IF(D40="","",IF(COUNTIF(AI40:AK40,"&gt;=5")=3,"🔴 全大",IF(COUNTIF(AI40:AK40,"&gt;=5")=0,"🔵 全小",IF(COUNTIF(AI40:AK40,"&gt;=5")=2,"▲ 偏大","▼ 偏小"))))</f>
        <v/>
      </c>
      <c r="AM40" s="31">
        <f>IF(D40="","",IF((MOD(AI40,2)=1)+(MOD(AJ40,2)=1)+(MOD(AK40,2)=1)=3,"⚫ 全单",IF((MOD(AI40,2)=1)+(MOD(AJ40,2)=1)+(MOD(AK40,2)=1)=0,"🟣 全双",IF((MOD(AI40,2)=1)+(MOD(AJ40,2)=1)+(MOD(AK40,2)=1)=2,"◑ 偏单","◑ 偏双"))))</f>
        <v/>
      </c>
      <c r="AN40" s="35">
        <f>IF(D40="","",IF(D39="",1,IF(ISNUMBER(SEARCH("大",AL40))=ISNUMBER(SEARCH("大",AL39)),AN39+1,1)))</f>
        <v/>
      </c>
      <c r="AO40" s="31">
        <f>IF(AN40="","",IF(AN40&gt;=4,"🚨 "&amp;AN40&amp;"期·警惕反转",IF(AN40=3,"⚠️ 3期连续","—")))</f>
        <v/>
      </c>
      <c r="AP40" s="22">
        <f>IF(AL40="","—",IF(ISNUMBER(SEARCH("大",AL40)),IF(OR(AL40="🔴 全大"),IF(AN40&gt;=4,"xxx大 强·⚠️反转?",IF(AN40=3,"xxx大 强·连3期","xxx大 ✅强用")),"xxx大 △弱参考"),IF(OR(AL40="🔵 全小"),IF(AN40&gt;=4,"xxx小 强·⚠️反转?",IF(AN40=3,"xxx小 强·连3期","xxx小 ✅强用")),"xxx小 △弱参考")))</f>
        <v/>
      </c>
      <c r="AQ40" s="3" t="n"/>
      <c r="AR40" s="31">
        <f>IF(OR(D40="",D39=""),"—",IF(K39="","—",IF(ISNUMBER(SEARCH("大",K39)),IF(COUNTIF(H40:J40,"&gt;=5")&gt;=2,"✅","❌"),IF(COUNTIF(H40:J40,"&gt;=5")&lt;=1,"✅","❌"))))</f>
        <v/>
      </c>
      <c r="AS40" s="31">
        <f>IF(OR(D40="",D39=""),"—",IF(T39="","—",IF(ISNUMBER(SEARCH("大",T39)),IF(COUNTIF(Q40:S40,"&gt;=5")&gt;=2,"✅","❌"),IF(COUNTIF(Q40:S40,"&gt;=5")&lt;=1,"✅","❌"))))</f>
        <v/>
      </c>
      <c r="AT40" s="31">
        <f>IF(OR(D40="",D39=""),"—",IF(AC39="","—",IF(ISNUMBER(SEARCH("大",AC39)),IF(COUNTIF(Z40:AB40,"&gt;=5")&gt;=2,"✅","❌"),IF(COUNTIF(Z40:AB40,"&gt;=5")&lt;=1,"✅","❌"))))</f>
        <v/>
      </c>
      <c r="AU40" s="31">
        <f>IF(OR(D40="",D39=""),"—",IF(AL39="","—",IF(ISNUMBER(SEARCH("大",AL39)),IF(COUNTIF(AI40:AK40,"&gt;=5")&gt;=2,"✅","❌"),IF(COUNTIF(AI40:AK40,"&gt;=5")&lt;=1,"✅","❌"))))</f>
        <v/>
      </c>
      <c r="AW40" s="36" t="n"/>
    </row>
    <row r="41" ht="18" customHeight="1">
      <c r="A41" s="16" t="n">
        <v>37</v>
      </c>
      <c r="B41" s="114" t="n"/>
      <c r="C41" s="18" t="n"/>
      <c r="D41" s="115" t="n"/>
      <c r="E41" s="115" t="n"/>
      <c r="F41" s="115" t="n"/>
      <c r="G41" s="3" t="n"/>
      <c r="H41" s="19">
        <f>IF(D41="","",VALUE(MID(TEXT(D41,"0000"),1,1)))</f>
        <v/>
      </c>
      <c r="I41" s="19">
        <f>IF(E41="","",VALUE(MID(TEXT(E41,"0000"),1,1)))</f>
        <v/>
      </c>
      <c r="J41" s="19">
        <f>IF(F41="","",VALUE(MID(TEXT(F41,"0000"),1,1)))</f>
        <v/>
      </c>
      <c r="K41" s="20">
        <f>IF(D41="","",IF(COUNTIF(H41:J41,"&gt;=5")=3,"🔴 全大",IF(COUNTIF(H41:J41,"&gt;=5")=0,"🔵 全小",IF(COUNTIF(H41:J41,"&gt;=5")=2,"▲ 偏大","▼ 偏小"))))</f>
        <v/>
      </c>
      <c r="L41" s="20">
        <f>IF(D41="","",IF((MOD(H41,2)=1)+(MOD(I41,2)=1)+(MOD(J41,2)=1)=3,"⚫ 全单",IF((MOD(H41,2)=1)+(MOD(I41,2)=1)+(MOD(J41,2)=1)=0,"🟣 全双",IF((MOD(H41,2)=1)+(MOD(I41,2)=1)+(MOD(J41,2)=1)=2,"◑ 偏单","◑ 偏双"))))</f>
        <v/>
      </c>
      <c r="M41" s="21">
        <f>IF(D41="","",IF(D40="",1,IF(ISNUMBER(SEARCH("大",K41))=ISNUMBER(SEARCH("大",K40)),M40+1,1)))</f>
        <v/>
      </c>
      <c r="N41" s="20">
        <f>IF(M41="","",IF(M41&gt;=4,"🚨 "&amp;M41&amp;"期·警惕反转",IF(M41=3,"⚠️ 3期连续","—")))</f>
        <v/>
      </c>
      <c r="O41" s="22">
        <f>IF(K41="","—",IF(ISNUMBER(SEARCH("大",K41)),IF(OR(K41="🔴 全大"),IF(M41&gt;=4,"大xxx 强·⚠️反转?",IF(M41=3,"大xxx 强·连3期","大xxx ✅强用")),"大xxx △弱参考"),IF(OR(K41="🔵 全小"),IF(M41&gt;=4,"小xxx 强·⚠️反转?",IF(M41=3,"小xxx 强·连3期","小xxx ✅强用")),"小xxx △弱参考")))</f>
        <v/>
      </c>
      <c r="P41" s="3" t="n"/>
      <c r="Q41" s="23">
        <f>IF(D41="","",VALUE(MID(TEXT(D41,"0000"),2,1)))</f>
        <v/>
      </c>
      <c r="R41" s="23">
        <f>IF(E41="","",VALUE(MID(TEXT(E41,"0000"),2,1)))</f>
        <v/>
      </c>
      <c r="S41" s="23">
        <f>IF(F41="","",VALUE(MID(TEXT(F41,"0000"),2,1)))</f>
        <v/>
      </c>
      <c r="T41" s="20">
        <f>IF(D41="","",IF(COUNTIF(Q41:S41,"&gt;=5")=3,"🔴 全大",IF(COUNTIF(Q41:S41,"&gt;=5")=0,"🔵 全小",IF(COUNTIF(Q41:S41,"&gt;=5")=2,"▲ 偏大","▼ 偏小"))))</f>
        <v/>
      </c>
      <c r="U41" s="20">
        <f>IF(D41="","",IF((MOD(Q41,2)=1)+(MOD(R41,2)=1)+(MOD(S41,2)=1)=3,"⚫ 全单",IF((MOD(Q41,2)=1)+(MOD(R41,2)=1)+(MOD(S41,2)=1)=0,"🟣 全双",IF((MOD(Q41,2)=1)+(MOD(R41,2)=1)+(MOD(S41,2)=1)=2,"◑ 偏单","◑ 偏双"))))</f>
        <v/>
      </c>
      <c r="V41" s="24">
        <f>IF(D41="","",IF(D40="",1,IF(ISNUMBER(SEARCH("大",T41))=ISNUMBER(SEARCH("大",T40)),V40+1,1)))</f>
        <v/>
      </c>
      <c r="W41" s="20">
        <f>IF(V41="","",IF(V41&gt;=4,"🚨 "&amp;V41&amp;"期·警惕反转",IF(V41=3,"⚠️ 3期连续","—")))</f>
        <v/>
      </c>
      <c r="X41" s="22">
        <f>IF(T41="","—",IF(ISNUMBER(SEARCH("大",T41)),IF(OR(T41="🔴 全大"),IF(V41&gt;=4,"x大xx 强·⚠️反转?",IF(V41=3,"x大xx 强·连3期","x大xx ✅强用")),"x大xx △弱参考"),IF(OR(T41="🔵 全小"),IF(V41&gt;=4,"x小xx 强·⚠️反转?",IF(V41=3,"x小xx 强·连3期","x小xx ✅强用")),"x小xx △弱参考")))</f>
        <v/>
      </c>
      <c r="Y41" s="3" t="n"/>
      <c r="Z41" s="25">
        <f>IF(D41="","",VALUE(MID(TEXT(D41,"0000"),3,1)))</f>
        <v/>
      </c>
      <c r="AA41" s="25">
        <f>IF(E41="","",VALUE(MID(TEXT(E41,"0000"),3,1)))</f>
        <v/>
      </c>
      <c r="AB41" s="25">
        <f>IF(F41="","",VALUE(MID(TEXT(F41,"0000"),3,1)))</f>
        <v/>
      </c>
      <c r="AC41" s="20">
        <f>IF(D41="","",IF(COUNTIF(Z41:AB41,"&gt;=5")=3,"🔴 全大",IF(COUNTIF(Z41:AB41,"&gt;=5")=0,"🔵 全小",IF(COUNTIF(Z41:AB41,"&gt;=5")=2,"▲ 偏大","▼ 偏小"))))</f>
        <v/>
      </c>
      <c r="AD41" s="20">
        <f>IF(D41="","",IF((MOD(Z41,2)=1)+(MOD(AA41,2)=1)+(MOD(AB41,2)=1)=3,"⚫ 全单",IF((MOD(Z41,2)=1)+(MOD(AA41,2)=1)+(MOD(AB41,2)=1)=0,"🟣 全双",IF((MOD(Z41,2)=1)+(MOD(AA41,2)=1)+(MOD(AB41,2)=1)=2,"◑ 偏单","◑ 偏双"))))</f>
        <v/>
      </c>
      <c r="AE41" s="26">
        <f>IF(D41="","",IF(D40="",1,IF(ISNUMBER(SEARCH("大",AC41))=ISNUMBER(SEARCH("大",AC40)),AE40+1,1)))</f>
        <v/>
      </c>
      <c r="AF41" s="20">
        <f>IF(AE41="","",IF(AE41&gt;=4,"🚨 "&amp;AE41&amp;"期·警惕反转",IF(AE41=3,"⚠️ 3期连续","—")))</f>
        <v/>
      </c>
      <c r="AG41" s="22">
        <f>IF(AC41="","—",IF(ISNUMBER(SEARCH("大",AC41)),IF(OR(AC41="🔴 全大"),IF(AE41&gt;=4,"xx大x 强·⚠️反转?",IF(AE41=3,"xx大x 强·连3期","xx大x ✅强用")),"xx大x △弱参考"),IF(OR(AC41="🔵 全小"),IF(AE41&gt;=4,"xx小x 强·⚠️反转?",IF(AE41=3,"xx小x 强·连3期","xx小x ✅强用")),"xx小x △弱参考")))</f>
        <v/>
      </c>
      <c r="AH41" s="3" t="n"/>
      <c r="AI41" s="27">
        <f>IF(D41="","",VALUE(MID(TEXT(D41,"0000"),4,1)))</f>
        <v/>
      </c>
      <c r="AJ41" s="27">
        <f>IF(E41="","",VALUE(MID(TEXT(E41,"0000"),4,1)))</f>
        <v/>
      </c>
      <c r="AK41" s="27">
        <f>IF(F41="","",VALUE(MID(TEXT(F41,"0000"),4,1)))</f>
        <v/>
      </c>
      <c r="AL41" s="20">
        <f>IF(D41="","",IF(COUNTIF(AI41:AK41,"&gt;=5")=3,"🔴 全大",IF(COUNTIF(AI41:AK41,"&gt;=5")=0,"🔵 全小",IF(COUNTIF(AI41:AK41,"&gt;=5")=2,"▲ 偏大","▼ 偏小"))))</f>
        <v/>
      </c>
      <c r="AM41" s="20">
        <f>IF(D41="","",IF((MOD(AI41,2)=1)+(MOD(AJ41,2)=1)+(MOD(AK41,2)=1)=3,"⚫ 全单",IF((MOD(AI41,2)=1)+(MOD(AJ41,2)=1)+(MOD(AK41,2)=1)=0,"🟣 全双",IF((MOD(AI41,2)=1)+(MOD(AJ41,2)=1)+(MOD(AK41,2)=1)=2,"◑ 偏单","◑ 偏双"))))</f>
        <v/>
      </c>
      <c r="AN41" s="28">
        <f>IF(D41="","",IF(D40="",1,IF(ISNUMBER(SEARCH("大",AL41))=ISNUMBER(SEARCH("大",AL40)),AN40+1,1)))</f>
        <v/>
      </c>
      <c r="AO41" s="20">
        <f>IF(AN41="","",IF(AN41&gt;=4,"🚨 "&amp;AN41&amp;"期·警惕反转",IF(AN41=3,"⚠️ 3期连续","—")))</f>
        <v/>
      </c>
      <c r="AP41" s="22">
        <f>IF(AL41="","—",IF(ISNUMBER(SEARCH("大",AL41)),IF(OR(AL41="🔴 全大"),IF(AN41&gt;=4,"xxx大 强·⚠️反转?",IF(AN41=3,"xxx大 强·连3期","xxx大 ✅强用")),"xxx大 △弱参考"),IF(OR(AL41="🔵 全小"),IF(AN41&gt;=4,"xxx小 强·⚠️反转?",IF(AN41=3,"xxx小 强·连3期","xxx小 ✅强用")),"xxx小 △弱参考")))</f>
        <v/>
      </c>
      <c r="AQ41" s="3" t="n"/>
      <c r="AR41" s="20">
        <f>IF(OR(D41="",D40=""),"—",IF(K40="","—",IF(ISNUMBER(SEARCH("大",K40)),IF(COUNTIF(H41:J41,"&gt;=5")&gt;=2,"✅","❌"),IF(COUNTIF(H41:J41,"&gt;=5")&lt;=1,"✅","❌"))))</f>
        <v/>
      </c>
      <c r="AS41" s="20">
        <f>IF(OR(D41="",D40=""),"—",IF(T40="","—",IF(ISNUMBER(SEARCH("大",T40)),IF(COUNTIF(Q41:S41,"&gt;=5")&gt;=2,"✅","❌"),IF(COUNTIF(Q41:S41,"&gt;=5")&lt;=1,"✅","❌"))))</f>
        <v/>
      </c>
      <c r="AT41" s="20">
        <f>IF(OR(D41="",D40=""),"—",IF(AC40="","—",IF(ISNUMBER(SEARCH("大",AC40)),IF(COUNTIF(Z41:AB41,"&gt;=5")&gt;=2,"✅","❌"),IF(COUNTIF(Z41:AB41,"&gt;=5")&lt;=1,"✅","❌"))))</f>
        <v/>
      </c>
      <c r="AU41" s="20">
        <f>IF(OR(D41="",D40=""),"—",IF(AL40="","—",IF(ISNUMBER(SEARCH("大",AL40)),IF(COUNTIF(AI41:AK41,"&gt;=5")&gt;=2,"✅","❌"),IF(COUNTIF(AI41:AK41,"&gt;=5")&lt;=1,"✅","❌"))))</f>
        <v/>
      </c>
      <c r="AW41" s="30" t="n"/>
    </row>
    <row r="42" ht="18" customHeight="1">
      <c r="A42" s="16" t="n">
        <v>38</v>
      </c>
      <c r="B42" s="116" t="n"/>
      <c r="C42" s="40" t="n"/>
      <c r="D42" s="117" t="n"/>
      <c r="E42" s="117" t="n"/>
      <c r="F42" s="117" t="n"/>
      <c r="G42" s="3" t="n"/>
      <c r="H42" s="19">
        <f>IF(D42="","",VALUE(MID(TEXT(D42,"0000"),1,1)))</f>
        <v/>
      </c>
      <c r="I42" s="19">
        <f>IF(E42="","",VALUE(MID(TEXT(E42,"0000"),1,1)))</f>
        <v/>
      </c>
      <c r="J42" s="19">
        <f>IF(F42="","",VALUE(MID(TEXT(F42,"0000"),1,1)))</f>
        <v/>
      </c>
      <c r="K42" s="31">
        <f>IF(D42="","",IF(COUNTIF(H42:J42,"&gt;=5")=3,"🔴 全大",IF(COUNTIF(H42:J42,"&gt;=5")=0,"🔵 全小",IF(COUNTIF(H42:J42,"&gt;=5")=2,"▲ 偏大","▼ 偏小"))))</f>
        <v/>
      </c>
      <c r="L42" s="31">
        <f>IF(D42="","",IF((MOD(H42,2)=1)+(MOD(I42,2)=1)+(MOD(J42,2)=1)=3,"⚫ 全单",IF((MOD(H42,2)=1)+(MOD(I42,2)=1)+(MOD(J42,2)=1)=0,"🟣 全双",IF((MOD(H42,2)=1)+(MOD(I42,2)=1)+(MOD(J42,2)=1)=2,"◑ 偏单","◑ 偏双"))))</f>
        <v/>
      </c>
      <c r="M42" s="32">
        <f>IF(D42="","",IF(D41="",1,IF(ISNUMBER(SEARCH("大",K42))=ISNUMBER(SEARCH("大",K41)),M41+1,1)))</f>
        <v/>
      </c>
      <c r="N42" s="31">
        <f>IF(M42="","",IF(M42&gt;=4,"🚨 "&amp;M42&amp;"期·警惕反转",IF(M42=3,"⚠️ 3期连续","—")))</f>
        <v/>
      </c>
      <c r="O42" s="22">
        <f>IF(K42="","—",IF(ISNUMBER(SEARCH("大",K42)),IF(OR(K42="🔴 全大"),IF(M42&gt;=4,"大xxx 强·⚠️反转?",IF(M42=3,"大xxx 强·连3期","大xxx ✅强用")),"大xxx △弱参考"),IF(OR(K42="🔵 全小"),IF(M42&gt;=4,"小xxx 强·⚠️反转?",IF(M42=3,"小xxx 强·连3期","小xxx ✅强用")),"小xxx △弱参考")))</f>
        <v/>
      </c>
      <c r="P42" s="3" t="n"/>
      <c r="Q42" s="23">
        <f>IF(D42="","",VALUE(MID(TEXT(D42,"0000"),2,1)))</f>
        <v/>
      </c>
      <c r="R42" s="23">
        <f>IF(E42="","",VALUE(MID(TEXT(E42,"0000"),2,1)))</f>
        <v/>
      </c>
      <c r="S42" s="23">
        <f>IF(F42="","",VALUE(MID(TEXT(F42,"0000"),2,1)))</f>
        <v/>
      </c>
      <c r="T42" s="31">
        <f>IF(D42="","",IF(COUNTIF(Q42:S42,"&gt;=5")=3,"🔴 全大",IF(COUNTIF(Q42:S42,"&gt;=5")=0,"🔵 全小",IF(COUNTIF(Q42:S42,"&gt;=5")=2,"▲ 偏大","▼ 偏小"))))</f>
        <v/>
      </c>
      <c r="U42" s="31">
        <f>IF(D42="","",IF((MOD(Q42,2)=1)+(MOD(R42,2)=1)+(MOD(S42,2)=1)=3,"⚫ 全单",IF((MOD(Q42,2)=1)+(MOD(R42,2)=1)+(MOD(S42,2)=1)=0,"🟣 全双",IF((MOD(Q42,2)=1)+(MOD(R42,2)=1)+(MOD(S42,2)=1)=2,"◑ 偏单","◑ 偏双"))))</f>
        <v/>
      </c>
      <c r="V42" s="33">
        <f>IF(D42="","",IF(D41="",1,IF(ISNUMBER(SEARCH("大",T42))=ISNUMBER(SEARCH("大",T41)),V41+1,1)))</f>
        <v/>
      </c>
      <c r="W42" s="31">
        <f>IF(V42="","",IF(V42&gt;=4,"🚨 "&amp;V42&amp;"期·警惕反转",IF(V42=3,"⚠️ 3期连续","—")))</f>
        <v/>
      </c>
      <c r="X42" s="22">
        <f>IF(T42="","—",IF(ISNUMBER(SEARCH("大",T42)),IF(OR(T42="🔴 全大"),IF(V42&gt;=4,"x大xx 强·⚠️反转?",IF(V42=3,"x大xx 强·连3期","x大xx ✅强用")),"x大xx △弱参考"),IF(OR(T42="🔵 全小"),IF(V42&gt;=4,"x小xx 强·⚠️反转?",IF(V42=3,"x小xx 强·连3期","x小xx ✅强用")),"x小xx △弱参考")))</f>
        <v/>
      </c>
      <c r="Y42" s="3" t="n"/>
      <c r="Z42" s="25">
        <f>IF(D42="","",VALUE(MID(TEXT(D42,"0000"),3,1)))</f>
        <v/>
      </c>
      <c r="AA42" s="25">
        <f>IF(E42="","",VALUE(MID(TEXT(E42,"0000"),3,1)))</f>
        <v/>
      </c>
      <c r="AB42" s="25">
        <f>IF(F42="","",VALUE(MID(TEXT(F42,"0000"),3,1)))</f>
        <v/>
      </c>
      <c r="AC42" s="31">
        <f>IF(D42="","",IF(COUNTIF(Z42:AB42,"&gt;=5")=3,"🔴 全大",IF(COUNTIF(Z42:AB42,"&gt;=5")=0,"🔵 全小",IF(COUNTIF(Z42:AB42,"&gt;=5")=2,"▲ 偏大","▼ 偏小"))))</f>
        <v/>
      </c>
      <c r="AD42" s="31">
        <f>IF(D42="","",IF((MOD(Z42,2)=1)+(MOD(AA42,2)=1)+(MOD(AB42,2)=1)=3,"⚫ 全单",IF((MOD(Z42,2)=1)+(MOD(AA42,2)=1)+(MOD(AB42,2)=1)=0,"🟣 全双",IF((MOD(Z42,2)=1)+(MOD(AA42,2)=1)+(MOD(AB42,2)=1)=2,"◑ 偏单","◑ 偏双"))))</f>
        <v/>
      </c>
      <c r="AE42" s="34">
        <f>IF(D42="","",IF(D41="",1,IF(ISNUMBER(SEARCH("大",AC42))=ISNUMBER(SEARCH("大",AC41)),AE41+1,1)))</f>
        <v/>
      </c>
      <c r="AF42" s="31">
        <f>IF(AE42="","",IF(AE42&gt;=4,"🚨 "&amp;AE42&amp;"期·警惕反转",IF(AE42=3,"⚠️ 3期连续","—")))</f>
        <v/>
      </c>
      <c r="AG42" s="22">
        <f>IF(AC42="","—",IF(ISNUMBER(SEARCH("大",AC42)),IF(OR(AC42="🔴 全大"),IF(AE42&gt;=4,"xx大x 强·⚠️反转?",IF(AE42=3,"xx大x 强·连3期","xx大x ✅强用")),"xx大x △弱参考"),IF(OR(AC42="🔵 全小"),IF(AE42&gt;=4,"xx小x 强·⚠️反转?",IF(AE42=3,"xx小x 强·连3期","xx小x ✅强用")),"xx小x △弱参考")))</f>
        <v/>
      </c>
      <c r="AH42" s="3" t="n"/>
      <c r="AI42" s="27">
        <f>IF(D42="","",VALUE(MID(TEXT(D42,"0000"),4,1)))</f>
        <v/>
      </c>
      <c r="AJ42" s="27">
        <f>IF(E42="","",VALUE(MID(TEXT(E42,"0000"),4,1)))</f>
        <v/>
      </c>
      <c r="AK42" s="27">
        <f>IF(F42="","",VALUE(MID(TEXT(F42,"0000"),4,1)))</f>
        <v/>
      </c>
      <c r="AL42" s="31">
        <f>IF(D42="","",IF(COUNTIF(AI42:AK42,"&gt;=5")=3,"🔴 全大",IF(COUNTIF(AI42:AK42,"&gt;=5")=0,"🔵 全小",IF(COUNTIF(AI42:AK42,"&gt;=5")=2,"▲ 偏大","▼ 偏小"))))</f>
        <v/>
      </c>
      <c r="AM42" s="31">
        <f>IF(D42="","",IF((MOD(AI42,2)=1)+(MOD(AJ42,2)=1)+(MOD(AK42,2)=1)=3,"⚫ 全单",IF((MOD(AI42,2)=1)+(MOD(AJ42,2)=1)+(MOD(AK42,2)=1)=0,"🟣 全双",IF((MOD(AI42,2)=1)+(MOD(AJ42,2)=1)+(MOD(AK42,2)=1)=2,"◑ 偏单","◑ 偏双"))))</f>
        <v/>
      </c>
      <c r="AN42" s="35">
        <f>IF(D42="","",IF(D41="",1,IF(ISNUMBER(SEARCH("大",AL42))=ISNUMBER(SEARCH("大",AL41)),AN41+1,1)))</f>
        <v/>
      </c>
      <c r="AO42" s="31">
        <f>IF(AN42="","",IF(AN42&gt;=4,"🚨 "&amp;AN42&amp;"期·警惕反转",IF(AN42=3,"⚠️ 3期连续","—")))</f>
        <v/>
      </c>
      <c r="AP42" s="22">
        <f>IF(AL42="","—",IF(ISNUMBER(SEARCH("大",AL42)),IF(OR(AL42="🔴 全大"),IF(AN42&gt;=4,"xxx大 强·⚠️反转?",IF(AN42=3,"xxx大 强·连3期","xxx大 ✅强用")),"xxx大 △弱参考"),IF(OR(AL42="🔵 全小"),IF(AN42&gt;=4,"xxx小 强·⚠️反转?",IF(AN42=3,"xxx小 强·连3期","xxx小 ✅强用")),"xxx小 △弱参考")))</f>
        <v/>
      </c>
      <c r="AQ42" s="3" t="n"/>
      <c r="AR42" s="31">
        <f>IF(OR(D42="",D41=""),"—",IF(K41="","—",IF(ISNUMBER(SEARCH("大",K41)),IF(COUNTIF(H42:J42,"&gt;=5")&gt;=2,"✅","❌"),IF(COUNTIF(H42:J42,"&gt;=5")&lt;=1,"✅","❌"))))</f>
        <v/>
      </c>
      <c r="AS42" s="31">
        <f>IF(OR(D42="",D41=""),"—",IF(T41="","—",IF(ISNUMBER(SEARCH("大",T41)),IF(COUNTIF(Q42:S42,"&gt;=5")&gt;=2,"✅","❌"),IF(COUNTIF(Q42:S42,"&gt;=5")&lt;=1,"✅","❌"))))</f>
        <v/>
      </c>
      <c r="AT42" s="31">
        <f>IF(OR(D42="",D41=""),"—",IF(AC41="","—",IF(ISNUMBER(SEARCH("大",AC41)),IF(COUNTIF(Z42:AB42,"&gt;=5")&gt;=2,"✅","❌"),IF(COUNTIF(Z42:AB42,"&gt;=5")&lt;=1,"✅","❌"))))</f>
        <v/>
      </c>
      <c r="AU42" s="31">
        <f>IF(OR(D42="",D41=""),"—",IF(AL41="","—",IF(ISNUMBER(SEARCH("大",AL41)),IF(COUNTIF(AI42:AK42,"&gt;=5")&gt;=2,"✅","❌"),IF(COUNTIF(AI42:AK42,"&gt;=5")&lt;=1,"✅","❌"))))</f>
        <v/>
      </c>
      <c r="AW42" s="36" t="n"/>
    </row>
    <row r="43" ht="18" customHeight="1">
      <c r="A43" s="16" t="n">
        <v>39</v>
      </c>
      <c r="B43" s="114" t="n"/>
      <c r="C43" s="18" t="n"/>
      <c r="D43" s="115" t="n"/>
      <c r="E43" s="115" t="n"/>
      <c r="F43" s="115" t="n"/>
      <c r="G43" s="3" t="n"/>
      <c r="H43" s="19">
        <f>IF(D43="","",VALUE(MID(TEXT(D43,"0000"),1,1)))</f>
        <v/>
      </c>
      <c r="I43" s="19">
        <f>IF(E43="","",VALUE(MID(TEXT(E43,"0000"),1,1)))</f>
        <v/>
      </c>
      <c r="J43" s="19">
        <f>IF(F43="","",VALUE(MID(TEXT(F43,"0000"),1,1)))</f>
        <v/>
      </c>
      <c r="K43" s="20">
        <f>IF(D43="","",IF(COUNTIF(H43:J43,"&gt;=5")=3,"🔴 全大",IF(COUNTIF(H43:J43,"&gt;=5")=0,"🔵 全小",IF(COUNTIF(H43:J43,"&gt;=5")=2,"▲ 偏大","▼ 偏小"))))</f>
        <v/>
      </c>
      <c r="L43" s="20">
        <f>IF(D43="","",IF((MOD(H43,2)=1)+(MOD(I43,2)=1)+(MOD(J43,2)=1)=3,"⚫ 全单",IF((MOD(H43,2)=1)+(MOD(I43,2)=1)+(MOD(J43,2)=1)=0,"🟣 全双",IF((MOD(H43,2)=1)+(MOD(I43,2)=1)+(MOD(J43,2)=1)=2,"◑ 偏单","◑ 偏双"))))</f>
        <v/>
      </c>
      <c r="M43" s="21">
        <f>IF(D43="","",IF(D42="",1,IF(ISNUMBER(SEARCH("大",K43))=ISNUMBER(SEARCH("大",K42)),M42+1,1)))</f>
        <v/>
      </c>
      <c r="N43" s="20">
        <f>IF(M43="","",IF(M43&gt;=4,"🚨 "&amp;M43&amp;"期·警惕反转",IF(M43=3,"⚠️ 3期连续","—")))</f>
        <v/>
      </c>
      <c r="O43" s="22">
        <f>IF(K43="","—",IF(ISNUMBER(SEARCH("大",K43)),IF(OR(K43="🔴 全大"),IF(M43&gt;=4,"大xxx 强·⚠️反转?",IF(M43=3,"大xxx 强·连3期","大xxx ✅强用")),"大xxx △弱参考"),IF(OR(K43="🔵 全小"),IF(M43&gt;=4,"小xxx 强·⚠️反转?",IF(M43=3,"小xxx 强·连3期","小xxx ✅强用")),"小xxx △弱参考")))</f>
        <v/>
      </c>
      <c r="P43" s="3" t="n"/>
      <c r="Q43" s="23">
        <f>IF(D43="","",VALUE(MID(TEXT(D43,"0000"),2,1)))</f>
        <v/>
      </c>
      <c r="R43" s="23">
        <f>IF(E43="","",VALUE(MID(TEXT(E43,"0000"),2,1)))</f>
        <v/>
      </c>
      <c r="S43" s="23">
        <f>IF(F43="","",VALUE(MID(TEXT(F43,"0000"),2,1)))</f>
        <v/>
      </c>
      <c r="T43" s="20">
        <f>IF(D43="","",IF(COUNTIF(Q43:S43,"&gt;=5")=3,"🔴 全大",IF(COUNTIF(Q43:S43,"&gt;=5")=0,"🔵 全小",IF(COUNTIF(Q43:S43,"&gt;=5")=2,"▲ 偏大","▼ 偏小"))))</f>
        <v/>
      </c>
      <c r="U43" s="20">
        <f>IF(D43="","",IF((MOD(Q43,2)=1)+(MOD(R43,2)=1)+(MOD(S43,2)=1)=3,"⚫ 全单",IF((MOD(Q43,2)=1)+(MOD(R43,2)=1)+(MOD(S43,2)=1)=0,"🟣 全双",IF((MOD(Q43,2)=1)+(MOD(R43,2)=1)+(MOD(S43,2)=1)=2,"◑ 偏单","◑ 偏双"))))</f>
        <v/>
      </c>
      <c r="V43" s="24">
        <f>IF(D43="","",IF(D42="",1,IF(ISNUMBER(SEARCH("大",T43))=ISNUMBER(SEARCH("大",T42)),V42+1,1)))</f>
        <v/>
      </c>
      <c r="W43" s="20">
        <f>IF(V43="","",IF(V43&gt;=4,"🚨 "&amp;V43&amp;"期·警惕反转",IF(V43=3,"⚠️ 3期连续","—")))</f>
        <v/>
      </c>
      <c r="X43" s="22">
        <f>IF(T43="","—",IF(ISNUMBER(SEARCH("大",T43)),IF(OR(T43="🔴 全大"),IF(V43&gt;=4,"x大xx 强·⚠️反转?",IF(V43=3,"x大xx 强·连3期","x大xx ✅强用")),"x大xx △弱参考"),IF(OR(T43="🔵 全小"),IF(V43&gt;=4,"x小xx 强·⚠️反转?",IF(V43=3,"x小xx 强·连3期","x小xx ✅强用")),"x小xx △弱参考")))</f>
        <v/>
      </c>
      <c r="Y43" s="3" t="n"/>
      <c r="Z43" s="25">
        <f>IF(D43="","",VALUE(MID(TEXT(D43,"0000"),3,1)))</f>
        <v/>
      </c>
      <c r="AA43" s="25">
        <f>IF(E43="","",VALUE(MID(TEXT(E43,"0000"),3,1)))</f>
        <v/>
      </c>
      <c r="AB43" s="25">
        <f>IF(F43="","",VALUE(MID(TEXT(F43,"0000"),3,1)))</f>
        <v/>
      </c>
      <c r="AC43" s="20">
        <f>IF(D43="","",IF(COUNTIF(Z43:AB43,"&gt;=5")=3,"🔴 全大",IF(COUNTIF(Z43:AB43,"&gt;=5")=0,"🔵 全小",IF(COUNTIF(Z43:AB43,"&gt;=5")=2,"▲ 偏大","▼ 偏小"))))</f>
        <v/>
      </c>
      <c r="AD43" s="20">
        <f>IF(D43="","",IF((MOD(Z43,2)=1)+(MOD(AA43,2)=1)+(MOD(AB43,2)=1)=3,"⚫ 全单",IF((MOD(Z43,2)=1)+(MOD(AA43,2)=1)+(MOD(AB43,2)=1)=0,"🟣 全双",IF((MOD(Z43,2)=1)+(MOD(AA43,2)=1)+(MOD(AB43,2)=1)=2,"◑ 偏单","◑ 偏双"))))</f>
        <v/>
      </c>
      <c r="AE43" s="26">
        <f>IF(D43="","",IF(D42="",1,IF(ISNUMBER(SEARCH("大",AC43))=ISNUMBER(SEARCH("大",AC42)),AE42+1,1)))</f>
        <v/>
      </c>
      <c r="AF43" s="20">
        <f>IF(AE43="","",IF(AE43&gt;=4,"🚨 "&amp;AE43&amp;"期·警惕反转",IF(AE43=3,"⚠️ 3期连续","—")))</f>
        <v/>
      </c>
      <c r="AG43" s="22">
        <f>IF(AC43="","—",IF(ISNUMBER(SEARCH("大",AC43)),IF(OR(AC43="🔴 全大"),IF(AE43&gt;=4,"xx大x 强·⚠️反转?",IF(AE43=3,"xx大x 强·连3期","xx大x ✅强用")),"xx大x △弱参考"),IF(OR(AC43="🔵 全小"),IF(AE43&gt;=4,"xx小x 强·⚠️反转?",IF(AE43=3,"xx小x 强·连3期","xx小x ✅强用")),"xx小x △弱参考")))</f>
        <v/>
      </c>
      <c r="AH43" s="3" t="n"/>
      <c r="AI43" s="27">
        <f>IF(D43="","",VALUE(MID(TEXT(D43,"0000"),4,1)))</f>
        <v/>
      </c>
      <c r="AJ43" s="27">
        <f>IF(E43="","",VALUE(MID(TEXT(E43,"0000"),4,1)))</f>
        <v/>
      </c>
      <c r="AK43" s="27">
        <f>IF(F43="","",VALUE(MID(TEXT(F43,"0000"),4,1)))</f>
        <v/>
      </c>
      <c r="AL43" s="20">
        <f>IF(D43="","",IF(COUNTIF(AI43:AK43,"&gt;=5")=3,"🔴 全大",IF(COUNTIF(AI43:AK43,"&gt;=5")=0,"🔵 全小",IF(COUNTIF(AI43:AK43,"&gt;=5")=2,"▲ 偏大","▼ 偏小"))))</f>
        <v/>
      </c>
      <c r="AM43" s="20">
        <f>IF(D43="","",IF((MOD(AI43,2)=1)+(MOD(AJ43,2)=1)+(MOD(AK43,2)=1)=3,"⚫ 全单",IF((MOD(AI43,2)=1)+(MOD(AJ43,2)=1)+(MOD(AK43,2)=1)=0,"🟣 全双",IF((MOD(AI43,2)=1)+(MOD(AJ43,2)=1)+(MOD(AK43,2)=1)=2,"◑ 偏单","◑ 偏双"))))</f>
        <v/>
      </c>
      <c r="AN43" s="28">
        <f>IF(D43="","",IF(D42="",1,IF(ISNUMBER(SEARCH("大",AL43))=ISNUMBER(SEARCH("大",AL42)),AN42+1,1)))</f>
        <v/>
      </c>
      <c r="AO43" s="20">
        <f>IF(AN43="","",IF(AN43&gt;=4,"🚨 "&amp;AN43&amp;"期·警惕反转",IF(AN43=3,"⚠️ 3期连续","—")))</f>
        <v/>
      </c>
      <c r="AP43" s="22">
        <f>IF(AL43="","—",IF(ISNUMBER(SEARCH("大",AL43)),IF(OR(AL43="🔴 全大"),IF(AN43&gt;=4,"xxx大 强·⚠️反转?",IF(AN43=3,"xxx大 强·连3期","xxx大 ✅强用")),"xxx大 △弱参考"),IF(OR(AL43="🔵 全小"),IF(AN43&gt;=4,"xxx小 强·⚠️反转?",IF(AN43=3,"xxx小 强·连3期","xxx小 ✅强用")),"xxx小 △弱参考")))</f>
        <v/>
      </c>
      <c r="AQ43" s="3" t="n"/>
      <c r="AR43" s="20">
        <f>IF(OR(D43="",D42=""),"—",IF(K42="","—",IF(ISNUMBER(SEARCH("大",K42)),IF(COUNTIF(H43:J43,"&gt;=5")&gt;=2,"✅","❌"),IF(COUNTIF(H43:J43,"&gt;=5")&lt;=1,"✅","❌"))))</f>
        <v/>
      </c>
      <c r="AS43" s="20">
        <f>IF(OR(D43="",D42=""),"—",IF(T42="","—",IF(ISNUMBER(SEARCH("大",T42)),IF(COUNTIF(Q43:S43,"&gt;=5")&gt;=2,"✅","❌"),IF(COUNTIF(Q43:S43,"&gt;=5")&lt;=1,"✅","❌"))))</f>
        <v/>
      </c>
      <c r="AT43" s="20">
        <f>IF(OR(D43="",D42=""),"—",IF(AC42="","—",IF(ISNUMBER(SEARCH("大",AC42)),IF(COUNTIF(Z43:AB43,"&gt;=5")&gt;=2,"✅","❌"),IF(COUNTIF(Z43:AB43,"&gt;=5")&lt;=1,"✅","❌"))))</f>
        <v/>
      </c>
      <c r="AU43" s="20">
        <f>IF(OR(D43="",D42=""),"—",IF(AL42="","—",IF(ISNUMBER(SEARCH("大",AL42)),IF(COUNTIF(AI43:AK43,"&gt;=5")&gt;=2,"✅","❌"),IF(COUNTIF(AI43:AK43,"&gt;=5")&lt;=1,"✅","❌"))))</f>
        <v/>
      </c>
      <c r="AW43" s="30" t="n"/>
    </row>
    <row r="44" ht="18" customHeight="1">
      <c r="A44" s="16" t="n">
        <v>40</v>
      </c>
      <c r="B44" s="116" t="n"/>
      <c r="C44" s="40" t="n"/>
      <c r="D44" s="117" t="n"/>
      <c r="E44" s="117" t="n"/>
      <c r="F44" s="117" t="n"/>
      <c r="G44" s="3" t="n"/>
      <c r="H44" s="19">
        <f>IF(D44="","",VALUE(MID(TEXT(D44,"0000"),1,1)))</f>
        <v/>
      </c>
      <c r="I44" s="19">
        <f>IF(E44="","",VALUE(MID(TEXT(E44,"0000"),1,1)))</f>
        <v/>
      </c>
      <c r="J44" s="19">
        <f>IF(F44="","",VALUE(MID(TEXT(F44,"0000"),1,1)))</f>
        <v/>
      </c>
      <c r="K44" s="31">
        <f>IF(D44="","",IF(COUNTIF(H44:J44,"&gt;=5")=3,"🔴 全大",IF(COUNTIF(H44:J44,"&gt;=5")=0,"🔵 全小",IF(COUNTIF(H44:J44,"&gt;=5")=2,"▲ 偏大","▼ 偏小"))))</f>
        <v/>
      </c>
      <c r="L44" s="31">
        <f>IF(D44="","",IF((MOD(H44,2)=1)+(MOD(I44,2)=1)+(MOD(J44,2)=1)=3,"⚫ 全单",IF((MOD(H44,2)=1)+(MOD(I44,2)=1)+(MOD(J44,2)=1)=0,"🟣 全双",IF((MOD(H44,2)=1)+(MOD(I44,2)=1)+(MOD(J44,2)=1)=2,"◑ 偏单","◑ 偏双"))))</f>
        <v/>
      </c>
      <c r="M44" s="32">
        <f>IF(D44="","",IF(D43="",1,IF(ISNUMBER(SEARCH("大",K44))=ISNUMBER(SEARCH("大",K43)),M43+1,1)))</f>
        <v/>
      </c>
      <c r="N44" s="31">
        <f>IF(M44="","",IF(M44&gt;=4,"🚨 "&amp;M44&amp;"期·警惕反转",IF(M44=3,"⚠️ 3期连续","—")))</f>
        <v/>
      </c>
      <c r="O44" s="22">
        <f>IF(K44="","—",IF(ISNUMBER(SEARCH("大",K44)),IF(OR(K44="🔴 全大"),IF(M44&gt;=4,"大xxx 强·⚠️反转?",IF(M44=3,"大xxx 强·连3期","大xxx ✅强用")),"大xxx △弱参考"),IF(OR(K44="🔵 全小"),IF(M44&gt;=4,"小xxx 强·⚠️反转?",IF(M44=3,"小xxx 强·连3期","小xxx ✅强用")),"小xxx △弱参考")))</f>
        <v/>
      </c>
      <c r="P44" s="3" t="n"/>
      <c r="Q44" s="23">
        <f>IF(D44="","",VALUE(MID(TEXT(D44,"0000"),2,1)))</f>
        <v/>
      </c>
      <c r="R44" s="23">
        <f>IF(E44="","",VALUE(MID(TEXT(E44,"0000"),2,1)))</f>
        <v/>
      </c>
      <c r="S44" s="23">
        <f>IF(F44="","",VALUE(MID(TEXT(F44,"0000"),2,1)))</f>
        <v/>
      </c>
      <c r="T44" s="31">
        <f>IF(D44="","",IF(COUNTIF(Q44:S44,"&gt;=5")=3,"🔴 全大",IF(COUNTIF(Q44:S44,"&gt;=5")=0,"🔵 全小",IF(COUNTIF(Q44:S44,"&gt;=5")=2,"▲ 偏大","▼ 偏小"))))</f>
        <v/>
      </c>
      <c r="U44" s="31">
        <f>IF(D44="","",IF((MOD(Q44,2)=1)+(MOD(R44,2)=1)+(MOD(S44,2)=1)=3,"⚫ 全单",IF((MOD(Q44,2)=1)+(MOD(R44,2)=1)+(MOD(S44,2)=1)=0,"🟣 全双",IF((MOD(Q44,2)=1)+(MOD(R44,2)=1)+(MOD(S44,2)=1)=2,"◑ 偏单","◑ 偏双"))))</f>
        <v/>
      </c>
      <c r="V44" s="33">
        <f>IF(D44="","",IF(D43="",1,IF(ISNUMBER(SEARCH("大",T44))=ISNUMBER(SEARCH("大",T43)),V43+1,1)))</f>
        <v/>
      </c>
      <c r="W44" s="31">
        <f>IF(V44="","",IF(V44&gt;=4,"🚨 "&amp;V44&amp;"期·警惕反转",IF(V44=3,"⚠️ 3期连续","—")))</f>
        <v/>
      </c>
      <c r="X44" s="22">
        <f>IF(T44="","—",IF(ISNUMBER(SEARCH("大",T44)),IF(OR(T44="🔴 全大"),IF(V44&gt;=4,"x大xx 强·⚠️反转?",IF(V44=3,"x大xx 强·连3期","x大xx ✅强用")),"x大xx △弱参考"),IF(OR(T44="🔵 全小"),IF(V44&gt;=4,"x小xx 强·⚠️反转?",IF(V44=3,"x小xx 强·连3期","x小xx ✅强用")),"x小xx △弱参考")))</f>
        <v/>
      </c>
      <c r="Y44" s="3" t="n"/>
      <c r="Z44" s="25">
        <f>IF(D44="","",VALUE(MID(TEXT(D44,"0000"),3,1)))</f>
        <v/>
      </c>
      <c r="AA44" s="25">
        <f>IF(E44="","",VALUE(MID(TEXT(E44,"0000"),3,1)))</f>
        <v/>
      </c>
      <c r="AB44" s="25">
        <f>IF(F44="","",VALUE(MID(TEXT(F44,"0000"),3,1)))</f>
        <v/>
      </c>
      <c r="AC44" s="31">
        <f>IF(D44="","",IF(COUNTIF(Z44:AB44,"&gt;=5")=3,"🔴 全大",IF(COUNTIF(Z44:AB44,"&gt;=5")=0,"🔵 全小",IF(COUNTIF(Z44:AB44,"&gt;=5")=2,"▲ 偏大","▼ 偏小"))))</f>
        <v/>
      </c>
      <c r="AD44" s="31">
        <f>IF(D44="","",IF((MOD(Z44,2)=1)+(MOD(AA44,2)=1)+(MOD(AB44,2)=1)=3,"⚫ 全单",IF((MOD(Z44,2)=1)+(MOD(AA44,2)=1)+(MOD(AB44,2)=1)=0,"🟣 全双",IF((MOD(Z44,2)=1)+(MOD(AA44,2)=1)+(MOD(AB44,2)=1)=2,"◑ 偏单","◑ 偏双"))))</f>
        <v/>
      </c>
      <c r="AE44" s="34">
        <f>IF(D44="","",IF(D43="",1,IF(ISNUMBER(SEARCH("大",AC44))=ISNUMBER(SEARCH("大",AC43)),AE43+1,1)))</f>
        <v/>
      </c>
      <c r="AF44" s="31">
        <f>IF(AE44="","",IF(AE44&gt;=4,"🚨 "&amp;AE44&amp;"期·警惕反转",IF(AE44=3,"⚠️ 3期连续","—")))</f>
        <v/>
      </c>
      <c r="AG44" s="22">
        <f>IF(AC44="","—",IF(ISNUMBER(SEARCH("大",AC44)),IF(OR(AC44="🔴 全大"),IF(AE44&gt;=4,"xx大x 强·⚠️反转?",IF(AE44=3,"xx大x 强·连3期","xx大x ✅强用")),"xx大x △弱参考"),IF(OR(AC44="🔵 全小"),IF(AE44&gt;=4,"xx小x 强·⚠️反转?",IF(AE44=3,"xx小x 强·连3期","xx小x ✅强用")),"xx小x △弱参考")))</f>
        <v/>
      </c>
      <c r="AH44" s="3" t="n"/>
      <c r="AI44" s="27">
        <f>IF(D44="","",VALUE(MID(TEXT(D44,"0000"),4,1)))</f>
        <v/>
      </c>
      <c r="AJ44" s="27">
        <f>IF(E44="","",VALUE(MID(TEXT(E44,"0000"),4,1)))</f>
        <v/>
      </c>
      <c r="AK44" s="27">
        <f>IF(F44="","",VALUE(MID(TEXT(F44,"0000"),4,1)))</f>
        <v/>
      </c>
      <c r="AL44" s="31">
        <f>IF(D44="","",IF(COUNTIF(AI44:AK44,"&gt;=5")=3,"🔴 全大",IF(COUNTIF(AI44:AK44,"&gt;=5")=0,"🔵 全小",IF(COUNTIF(AI44:AK44,"&gt;=5")=2,"▲ 偏大","▼ 偏小"))))</f>
        <v/>
      </c>
      <c r="AM44" s="31">
        <f>IF(D44="","",IF((MOD(AI44,2)=1)+(MOD(AJ44,2)=1)+(MOD(AK44,2)=1)=3,"⚫ 全单",IF((MOD(AI44,2)=1)+(MOD(AJ44,2)=1)+(MOD(AK44,2)=1)=0,"🟣 全双",IF((MOD(AI44,2)=1)+(MOD(AJ44,2)=1)+(MOD(AK44,2)=1)=2,"◑ 偏单","◑ 偏双"))))</f>
        <v/>
      </c>
      <c r="AN44" s="35">
        <f>IF(D44="","",IF(D43="",1,IF(ISNUMBER(SEARCH("大",AL44))=ISNUMBER(SEARCH("大",AL43)),AN43+1,1)))</f>
        <v/>
      </c>
      <c r="AO44" s="31">
        <f>IF(AN44="","",IF(AN44&gt;=4,"🚨 "&amp;AN44&amp;"期·警惕反转",IF(AN44=3,"⚠️ 3期连续","—")))</f>
        <v/>
      </c>
      <c r="AP44" s="22">
        <f>IF(AL44="","—",IF(ISNUMBER(SEARCH("大",AL44)),IF(OR(AL44="🔴 全大"),IF(AN44&gt;=4,"xxx大 强·⚠️反转?",IF(AN44=3,"xxx大 强·连3期","xxx大 ✅强用")),"xxx大 △弱参考"),IF(OR(AL44="🔵 全小"),IF(AN44&gt;=4,"xxx小 强·⚠️反转?",IF(AN44=3,"xxx小 强·连3期","xxx小 ✅强用")),"xxx小 △弱参考")))</f>
        <v/>
      </c>
      <c r="AQ44" s="3" t="n"/>
      <c r="AR44" s="31">
        <f>IF(OR(D44="",D43=""),"—",IF(K43="","—",IF(ISNUMBER(SEARCH("大",K43)),IF(COUNTIF(H44:J44,"&gt;=5")&gt;=2,"✅","❌"),IF(COUNTIF(H44:J44,"&gt;=5")&lt;=1,"✅","❌"))))</f>
        <v/>
      </c>
      <c r="AS44" s="31">
        <f>IF(OR(D44="",D43=""),"—",IF(T43="","—",IF(ISNUMBER(SEARCH("大",T43)),IF(COUNTIF(Q44:S44,"&gt;=5")&gt;=2,"✅","❌"),IF(COUNTIF(Q44:S44,"&gt;=5")&lt;=1,"✅","❌"))))</f>
        <v/>
      </c>
      <c r="AT44" s="31">
        <f>IF(OR(D44="",D43=""),"—",IF(AC43="","—",IF(ISNUMBER(SEARCH("大",AC43)),IF(COUNTIF(Z44:AB44,"&gt;=5")&gt;=2,"✅","❌"),IF(COUNTIF(Z44:AB44,"&gt;=5")&lt;=1,"✅","❌"))))</f>
        <v/>
      </c>
      <c r="AU44" s="31">
        <f>IF(OR(D44="",D43=""),"—",IF(AL43="","—",IF(ISNUMBER(SEARCH("大",AL43)),IF(COUNTIF(AI44:AK44,"&gt;=5")&gt;=2,"✅","❌"),IF(COUNTIF(AI44:AK44,"&gt;=5")&lt;=1,"✅","❌"))))</f>
        <v/>
      </c>
      <c r="AW44" s="36" t="n"/>
    </row>
    <row r="45" ht="18" customHeight="1">
      <c r="A45" s="16" t="n">
        <v>41</v>
      </c>
      <c r="B45" s="114" t="n"/>
      <c r="C45" s="18" t="n"/>
      <c r="D45" s="115" t="n"/>
      <c r="E45" s="115" t="n"/>
      <c r="F45" s="115" t="n"/>
      <c r="G45" s="3" t="n"/>
      <c r="H45" s="19">
        <f>IF(D45="","",VALUE(MID(TEXT(D45,"0000"),1,1)))</f>
        <v/>
      </c>
      <c r="I45" s="19">
        <f>IF(E45="","",VALUE(MID(TEXT(E45,"0000"),1,1)))</f>
        <v/>
      </c>
      <c r="J45" s="19">
        <f>IF(F45="","",VALUE(MID(TEXT(F45,"0000"),1,1)))</f>
        <v/>
      </c>
      <c r="K45" s="20">
        <f>IF(D45="","",IF(COUNTIF(H45:J45,"&gt;=5")=3,"🔴 全大",IF(COUNTIF(H45:J45,"&gt;=5")=0,"🔵 全小",IF(COUNTIF(H45:J45,"&gt;=5")=2,"▲ 偏大","▼ 偏小"))))</f>
        <v/>
      </c>
      <c r="L45" s="20">
        <f>IF(D45="","",IF((MOD(H45,2)=1)+(MOD(I45,2)=1)+(MOD(J45,2)=1)=3,"⚫ 全单",IF((MOD(H45,2)=1)+(MOD(I45,2)=1)+(MOD(J45,2)=1)=0,"🟣 全双",IF((MOD(H45,2)=1)+(MOD(I45,2)=1)+(MOD(J45,2)=1)=2,"◑ 偏单","◑ 偏双"))))</f>
        <v/>
      </c>
      <c r="M45" s="21">
        <f>IF(D45="","",IF(D44="",1,IF(ISNUMBER(SEARCH("大",K45))=ISNUMBER(SEARCH("大",K44)),M44+1,1)))</f>
        <v/>
      </c>
      <c r="N45" s="20">
        <f>IF(M45="","",IF(M45&gt;=4,"🚨 "&amp;M45&amp;"期·警惕反转",IF(M45=3,"⚠️ 3期连续","—")))</f>
        <v/>
      </c>
      <c r="O45" s="22">
        <f>IF(K45="","—",IF(ISNUMBER(SEARCH("大",K45)),IF(OR(K45="🔴 全大"),IF(M45&gt;=4,"大xxx 强·⚠️反转?",IF(M45=3,"大xxx 强·连3期","大xxx ✅强用")),"大xxx △弱参考"),IF(OR(K45="🔵 全小"),IF(M45&gt;=4,"小xxx 强·⚠️反转?",IF(M45=3,"小xxx 强·连3期","小xxx ✅强用")),"小xxx △弱参考")))</f>
        <v/>
      </c>
      <c r="P45" s="3" t="n"/>
      <c r="Q45" s="23">
        <f>IF(D45="","",VALUE(MID(TEXT(D45,"0000"),2,1)))</f>
        <v/>
      </c>
      <c r="R45" s="23">
        <f>IF(E45="","",VALUE(MID(TEXT(E45,"0000"),2,1)))</f>
        <v/>
      </c>
      <c r="S45" s="23">
        <f>IF(F45="","",VALUE(MID(TEXT(F45,"0000"),2,1)))</f>
        <v/>
      </c>
      <c r="T45" s="20">
        <f>IF(D45="","",IF(COUNTIF(Q45:S45,"&gt;=5")=3,"🔴 全大",IF(COUNTIF(Q45:S45,"&gt;=5")=0,"🔵 全小",IF(COUNTIF(Q45:S45,"&gt;=5")=2,"▲ 偏大","▼ 偏小"))))</f>
        <v/>
      </c>
      <c r="U45" s="20">
        <f>IF(D45="","",IF((MOD(Q45,2)=1)+(MOD(R45,2)=1)+(MOD(S45,2)=1)=3,"⚫ 全单",IF((MOD(Q45,2)=1)+(MOD(R45,2)=1)+(MOD(S45,2)=1)=0,"🟣 全双",IF((MOD(Q45,2)=1)+(MOD(R45,2)=1)+(MOD(S45,2)=1)=2,"◑ 偏单","◑ 偏双"))))</f>
        <v/>
      </c>
      <c r="V45" s="24">
        <f>IF(D45="","",IF(D44="",1,IF(ISNUMBER(SEARCH("大",T45))=ISNUMBER(SEARCH("大",T44)),V44+1,1)))</f>
        <v/>
      </c>
      <c r="W45" s="20">
        <f>IF(V45="","",IF(V45&gt;=4,"🚨 "&amp;V45&amp;"期·警惕反转",IF(V45=3,"⚠️ 3期连续","—")))</f>
        <v/>
      </c>
      <c r="X45" s="22">
        <f>IF(T45="","—",IF(ISNUMBER(SEARCH("大",T45)),IF(OR(T45="🔴 全大"),IF(V45&gt;=4,"x大xx 强·⚠️反转?",IF(V45=3,"x大xx 强·连3期","x大xx ✅强用")),"x大xx △弱参考"),IF(OR(T45="🔵 全小"),IF(V45&gt;=4,"x小xx 强·⚠️反转?",IF(V45=3,"x小xx 强·连3期","x小xx ✅强用")),"x小xx △弱参考")))</f>
        <v/>
      </c>
      <c r="Y45" s="3" t="n"/>
      <c r="Z45" s="25">
        <f>IF(D45="","",VALUE(MID(TEXT(D45,"0000"),3,1)))</f>
        <v/>
      </c>
      <c r="AA45" s="25">
        <f>IF(E45="","",VALUE(MID(TEXT(E45,"0000"),3,1)))</f>
        <v/>
      </c>
      <c r="AB45" s="25">
        <f>IF(F45="","",VALUE(MID(TEXT(F45,"0000"),3,1)))</f>
        <v/>
      </c>
      <c r="AC45" s="20">
        <f>IF(D45="","",IF(COUNTIF(Z45:AB45,"&gt;=5")=3,"🔴 全大",IF(COUNTIF(Z45:AB45,"&gt;=5")=0,"🔵 全小",IF(COUNTIF(Z45:AB45,"&gt;=5")=2,"▲ 偏大","▼ 偏小"))))</f>
        <v/>
      </c>
      <c r="AD45" s="20">
        <f>IF(D45="","",IF((MOD(Z45,2)=1)+(MOD(AA45,2)=1)+(MOD(AB45,2)=1)=3,"⚫ 全单",IF((MOD(Z45,2)=1)+(MOD(AA45,2)=1)+(MOD(AB45,2)=1)=0,"🟣 全双",IF((MOD(Z45,2)=1)+(MOD(AA45,2)=1)+(MOD(AB45,2)=1)=2,"◑ 偏单","◑ 偏双"))))</f>
        <v/>
      </c>
      <c r="AE45" s="26">
        <f>IF(D45="","",IF(D44="",1,IF(ISNUMBER(SEARCH("大",AC45))=ISNUMBER(SEARCH("大",AC44)),AE44+1,1)))</f>
        <v/>
      </c>
      <c r="AF45" s="20">
        <f>IF(AE45="","",IF(AE45&gt;=4,"🚨 "&amp;AE45&amp;"期·警惕反转",IF(AE45=3,"⚠️ 3期连续","—")))</f>
        <v/>
      </c>
      <c r="AG45" s="22">
        <f>IF(AC45="","—",IF(ISNUMBER(SEARCH("大",AC45)),IF(OR(AC45="🔴 全大"),IF(AE45&gt;=4,"xx大x 强·⚠️反转?",IF(AE45=3,"xx大x 强·连3期","xx大x ✅强用")),"xx大x △弱参考"),IF(OR(AC45="🔵 全小"),IF(AE45&gt;=4,"xx小x 强·⚠️反转?",IF(AE45=3,"xx小x 强·连3期","xx小x ✅强用")),"xx小x △弱参考")))</f>
        <v/>
      </c>
      <c r="AH45" s="3" t="n"/>
      <c r="AI45" s="27">
        <f>IF(D45="","",VALUE(MID(TEXT(D45,"0000"),4,1)))</f>
        <v/>
      </c>
      <c r="AJ45" s="27">
        <f>IF(E45="","",VALUE(MID(TEXT(E45,"0000"),4,1)))</f>
        <v/>
      </c>
      <c r="AK45" s="27">
        <f>IF(F45="","",VALUE(MID(TEXT(F45,"0000"),4,1)))</f>
        <v/>
      </c>
      <c r="AL45" s="20">
        <f>IF(D45="","",IF(COUNTIF(AI45:AK45,"&gt;=5")=3,"🔴 全大",IF(COUNTIF(AI45:AK45,"&gt;=5")=0,"🔵 全小",IF(COUNTIF(AI45:AK45,"&gt;=5")=2,"▲ 偏大","▼ 偏小"))))</f>
        <v/>
      </c>
      <c r="AM45" s="20">
        <f>IF(D45="","",IF((MOD(AI45,2)=1)+(MOD(AJ45,2)=1)+(MOD(AK45,2)=1)=3,"⚫ 全单",IF((MOD(AI45,2)=1)+(MOD(AJ45,2)=1)+(MOD(AK45,2)=1)=0,"🟣 全双",IF((MOD(AI45,2)=1)+(MOD(AJ45,2)=1)+(MOD(AK45,2)=1)=2,"◑ 偏单","◑ 偏双"))))</f>
        <v/>
      </c>
      <c r="AN45" s="28">
        <f>IF(D45="","",IF(D44="",1,IF(ISNUMBER(SEARCH("大",AL45))=ISNUMBER(SEARCH("大",AL44)),AN44+1,1)))</f>
        <v/>
      </c>
      <c r="AO45" s="20">
        <f>IF(AN45="","",IF(AN45&gt;=4,"🚨 "&amp;AN45&amp;"期·警惕反转",IF(AN45=3,"⚠️ 3期连续","—")))</f>
        <v/>
      </c>
      <c r="AP45" s="22">
        <f>IF(AL45="","—",IF(ISNUMBER(SEARCH("大",AL45)),IF(OR(AL45="🔴 全大"),IF(AN45&gt;=4,"xxx大 强·⚠️反转?",IF(AN45=3,"xxx大 强·连3期","xxx大 ✅强用")),"xxx大 △弱参考"),IF(OR(AL45="🔵 全小"),IF(AN45&gt;=4,"xxx小 强·⚠️反转?",IF(AN45=3,"xxx小 强·连3期","xxx小 ✅强用")),"xxx小 △弱参考")))</f>
        <v/>
      </c>
      <c r="AQ45" s="3" t="n"/>
      <c r="AR45" s="20">
        <f>IF(OR(D45="",D44=""),"—",IF(K44="","—",IF(ISNUMBER(SEARCH("大",K44)),IF(COUNTIF(H45:J45,"&gt;=5")&gt;=2,"✅","❌"),IF(COUNTIF(H45:J45,"&gt;=5")&lt;=1,"✅","❌"))))</f>
        <v/>
      </c>
      <c r="AS45" s="20">
        <f>IF(OR(D45="",D44=""),"—",IF(T44="","—",IF(ISNUMBER(SEARCH("大",T44)),IF(COUNTIF(Q45:S45,"&gt;=5")&gt;=2,"✅","❌"),IF(COUNTIF(Q45:S45,"&gt;=5")&lt;=1,"✅","❌"))))</f>
        <v/>
      </c>
      <c r="AT45" s="20">
        <f>IF(OR(D45="",D44=""),"—",IF(AC44="","—",IF(ISNUMBER(SEARCH("大",AC44)),IF(COUNTIF(Z45:AB45,"&gt;=5")&gt;=2,"✅","❌"),IF(COUNTIF(Z45:AB45,"&gt;=5")&lt;=1,"✅","❌"))))</f>
        <v/>
      </c>
      <c r="AU45" s="20">
        <f>IF(OR(D45="",D44=""),"—",IF(AL44="","—",IF(ISNUMBER(SEARCH("大",AL44)),IF(COUNTIF(AI45:AK45,"&gt;=5")&gt;=2,"✅","❌"),IF(COUNTIF(AI45:AK45,"&gt;=5")&lt;=1,"✅","❌"))))</f>
        <v/>
      </c>
      <c r="AW45" s="30" t="n"/>
    </row>
    <row r="46" ht="18" customHeight="1">
      <c r="A46" s="16" t="n">
        <v>42</v>
      </c>
      <c r="B46" s="116" t="n"/>
      <c r="C46" s="40" t="n"/>
      <c r="D46" s="117" t="n"/>
      <c r="E46" s="117" t="n"/>
      <c r="F46" s="117" t="n"/>
      <c r="G46" s="3" t="n"/>
      <c r="H46" s="19">
        <f>IF(D46="","",VALUE(MID(TEXT(D46,"0000"),1,1)))</f>
        <v/>
      </c>
      <c r="I46" s="19">
        <f>IF(E46="","",VALUE(MID(TEXT(E46,"0000"),1,1)))</f>
        <v/>
      </c>
      <c r="J46" s="19">
        <f>IF(F46="","",VALUE(MID(TEXT(F46,"0000"),1,1)))</f>
        <v/>
      </c>
      <c r="K46" s="31">
        <f>IF(D46="","",IF(COUNTIF(H46:J46,"&gt;=5")=3,"🔴 全大",IF(COUNTIF(H46:J46,"&gt;=5")=0,"🔵 全小",IF(COUNTIF(H46:J46,"&gt;=5")=2,"▲ 偏大","▼ 偏小"))))</f>
        <v/>
      </c>
      <c r="L46" s="31">
        <f>IF(D46="","",IF((MOD(H46,2)=1)+(MOD(I46,2)=1)+(MOD(J46,2)=1)=3,"⚫ 全单",IF((MOD(H46,2)=1)+(MOD(I46,2)=1)+(MOD(J46,2)=1)=0,"🟣 全双",IF((MOD(H46,2)=1)+(MOD(I46,2)=1)+(MOD(J46,2)=1)=2,"◑ 偏单","◑ 偏双"))))</f>
        <v/>
      </c>
      <c r="M46" s="32">
        <f>IF(D46="","",IF(D45="",1,IF(ISNUMBER(SEARCH("大",K46))=ISNUMBER(SEARCH("大",K45)),M45+1,1)))</f>
        <v/>
      </c>
      <c r="N46" s="31">
        <f>IF(M46="","",IF(M46&gt;=4,"🚨 "&amp;M46&amp;"期·警惕反转",IF(M46=3,"⚠️ 3期连续","—")))</f>
        <v/>
      </c>
      <c r="O46" s="22">
        <f>IF(K46="","—",IF(ISNUMBER(SEARCH("大",K46)),IF(OR(K46="🔴 全大"),IF(M46&gt;=4,"大xxx 强·⚠️反转?",IF(M46=3,"大xxx 强·连3期","大xxx ✅强用")),"大xxx △弱参考"),IF(OR(K46="🔵 全小"),IF(M46&gt;=4,"小xxx 强·⚠️反转?",IF(M46=3,"小xxx 强·连3期","小xxx ✅强用")),"小xxx △弱参考")))</f>
        <v/>
      </c>
      <c r="P46" s="3" t="n"/>
      <c r="Q46" s="23">
        <f>IF(D46="","",VALUE(MID(TEXT(D46,"0000"),2,1)))</f>
        <v/>
      </c>
      <c r="R46" s="23">
        <f>IF(E46="","",VALUE(MID(TEXT(E46,"0000"),2,1)))</f>
        <v/>
      </c>
      <c r="S46" s="23">
        <f>IF(F46="","",VALUE(MID(TEXT(F46,"0000"),2,1)))</f>
        <v/>
      </c>
      <c r="T46" s="31">
        <f>IF(D46="","",IF(COUNTIF(Q46:S46,"&gt;=5")=3,"🔴 全大",IF(COUNTIF(Q46:S46,"&gt;=5")=0,"🔵 全小",IF(COUNTIF(Q46:S46,"&gt;=5")=2,"▲ 偏大","▼ 偏小"))))</f>
        <v/>
      </c>
      <c r="U46" s="31">
        <f>IF(D46="","",IF((MOD(Q46,2)=1)+(MOD(R46,2)=1)+(MOD(S46,2)=1)=3,"⚫ 全单",IF((MOD(Q46,2)=1)+(MOD(R46,2)=1)+(MOD(S46,2)=1)=0,"🟣 全双",IF((MOD(Q46,2)=1)+(MOD(R46,2)=1)+(MOD(S46,2)=1)=2,"◑ 偏单","◑ 偏双"))))</f>
        <v/>
      </c>
      <c r="V46" s="33">
        <f>IF(D46="","",IF(D45="",1,IF(ISNUMBER(SEARCH("大",T46))=ISNUMBER(SEARCH("大",T45)),V45+1,1)))</f>
        <v/>
      </c>
      <c r="W46" s="31">
        <f>IF(V46="","",IF(V46&gt;=4,"🚨 "&amp;V46&amp;"期·警惕反转",IF(V46=3,"⚠️ 3期连续","—")))</f>
        <v/>
      </c>
      <c r="X46" s="22">
        <f>IF(T46="","—",IF(ISNUMBER(SEARCH("大",T46)),IF(OR(T46="🔴 全大"),IF(V46&gt;=4,"x大xx 强·⚠️反转?",IF(V46=3,"x大xx 强·连3期","x大xx ✅强用")),"x大xx △弱参考"),IF(OR(T46="🔵 全小"),IF(V46&gt;=4,"x小xx 强·⚠️反转?",IF(V46=3,"x小xx 强·连3期","x小xx ✅强用")),"x小xx △弱参考")))</f>
        <v/>
      </c>
      <c r="Y46" s="3" t="n"/>
      <c r="Z46" s="25">
        <f>IF(D46="","",VALUE(MID(TEXT(D46,"0000"),3,1)))</f>
        <v/>
      </c>
      <c r="AA46" s="25">
        <f>IF(E46="","",VALUE(MID(TEXT(E46,"0000"),3,1)))</f>
        <v/>
      </c>
      <c r="AB46" s="25">
        <f>IF(F46="","",VALUE(MID(TEXT(F46,"0000"),3,1)))</f>
        <v/>
      </c>
      <c r="AC46" s="31">
        <f>IF(D46="","",IF(COUNTIF(Z46:AB46,"&gt;=5")=3,"🔴 全大",IF(COUNTIF(Z46:AB46,"&gt;=5")=0,"🔵 全小",IF(COUNTIF(Z46:AB46,"&gt;=5")=2,"▲ 偏大","▼ 偏小"))))</f>
        <v/>
      </c>
      <c r="AD46" s="31">
        <f>IF(D46="","",IF((MOD(Z46,2)=1)+(MOD(AA46,2)=1)+(MOD(AB46,2)=1)=3,"⚫ 全单",IF((MOD(Z46,2)=1)+(MOD(AA46,2)=1)+(MOD(AB46,2)=1)=0,"🟣 全双",IF((MOD(Z46,2)=1)+(MOD(AA46,2)=1)+(MOD(AB46,2)=1)=2,"◑ 偏单","◑ 偏双"))))</f>
        <v/>
      </c>
      <c r="AE46" s="34">
        <f>IF(D46="","",IF(D45="",1,IF(ISNUMBER(SEARCH("大",AC46))=ISNUMBER(SEARCH("大",AC45)),AE45+1,1)))</f>
        <v/>
      </c>
      <c r="AF46" s="31">
        <f>IF(AE46="","",IF(AE46&gt;=4,"🚨 "&amp;AE46&amp;"期·警惕反转",IF(AE46=3,"⚠️ 3期连续","—")))</f>
        <v/>
      </c>
      <c r="AG46" s="22">
        <f>IF(AC46="","—",IF(ISNUMBER(SEARCH("大",AC46)),IF(OR(AC46="🔴 全大"),IF(AE46&gt;=4,"xx大x 强·⚠️反转?",IF(AE46=3,"xx大x 强·连3期","xx大x ✅强用")),"xx大x △弱参考"),IF(OR(AC46="🔵 全小"),IF(AE46&gt;=4,"xx小x 强·⚠️反转?",IF(AE46=3,"xx小x 强·连3期","xx小x ✅强用")),"xx小x △弱参考")))</f>
        <v/>
      </c>
      <c r="AH46" s="3" t="n"/>
      <c r="AI46" s="27">
        <f>IF(D46="","",VALUE(MID(TEXT(D46,"0000"),4,1)))</f>
        <v/>
      </c>
      <c r="AJ46" s="27">
        <f>IF(E46="","",VALUE(MID(TEXT(E46,"0000"),4,1)))</f>
        <v/>
      </c>
      <c r="AK46" s="27">
        <f>IF(F46="","",VALUE(MID(TEXT(F46,"0000"),4,1)))</f>
        <v/>
      </c>
      <c r="AL46" s="31">
        <f>IF(D46="","",IF(COUNTIF(AI46:AK46,"&gt;=5")=3,"🔴 全大",IF(COUNTIF(AI46:AK46,"&gt;=5")=0,"🔵 全小",IF(COUNTIF(AI46:AK46,"&gt;=5")=2,"▲ 偏大","▼ 偏小"))))</f>
        <v/>
      </c>
      <c r="AM46" s="31">
        <f>IF(D46="","",IF((MOD(AI46,2)=1)+(MOD(AJ46,2)=1)+(MOD(AK46,2)=1)=3,"⚫ 全单",IF((MOD(AI46,2)=1)+(MOD(AJ46,2)=1)+(MOD(AK46,2)=1)=0,"🟣 全双",IF((MOD(AI46,2)=1)+(MOD(AJ46,2)=1)+(MOD(AK46,2)=1)=2,"◑ 偏单","◑ 偏双"))))</f>
        <v/>
      </c>
      <c r="AN46" s="35">
        <f>IF(D46="","",IF(D45="",1,IF(ISNUMBER(SEARCH("大",AL46))=ISNUMBER(SEARCH("大",AL45)),AN45+1,1)))</f>
        <v/>
      </c>
      <c r="AO46" s="31">
        <f>IF(AN46="","",IF(AN46&gt;=4,"🚨 "&amp;AN46&amp;"期·警惕反转",IF(AN46=3,"⚠️ 3期连续","—")))</f>
        <v/>
      </c>
      <c r="AP46" s="22">
        <f>IF(AL46="","—",IF(ISNUMBER(SEARCH("大",AL46)),IF(OR(AL46="🔴 全大"),IF(AN46&gt;=4,"xxx大 强·⚠️反转?",IF(AN46=3,"xxx大 强·连3期","xxx大 ✅强用")),"xxx大 △弱参考"),IF(OR(AL46="🔵 全小"),IF(AN46&gt;=4,"xxx小 强·⚠️反转?",IF(AN46=3,"xxx小 强·连3期","xxx小 ✅强用")),"xxx小 △弱参考")))</f>
        <v/>
      </c>
      <c r="AQ46" s="3" t="n"/>
      <c r="AR46" s="31">
        <f>IF(OR(D46="",D45=""),"—",IF(K45="","—",IF(ISNUMBER(SEARCH("大",K45)),IF(COUNTIF(H46:J46,"&gt;=5")&gt;=2,"✅","❌"),IF(COUNTIF(H46:J46,"&gt;=5")&lt;=1,"✅","❌"))))</f>
        <v/>
      </c>
      <c r="AS46" s="31">
        <f>IF(OR(D46="",D45=""),"—",IF(T45="","—",IF(ISNUMBER(SEARCH("大",T45)),IF(COUNTIF(Q46:S46,"&gt;=5")&gt;=2,"✅","❌"),IF(COUNTIF(Q46:S46,"&gt;=5")&lt;=1,"✅","❌"))))</f>
        <v/>
      </c>
      <c r="AT46" s="31">
        <f>IF(OR(D46="",D45=""),"—",IF(AC45="","—",IF(ISNUMBER(SEARCH("大",AC45)),IF(COUNTIF(Z46:AB46,"&gt;=5")&gt;=2,"✅","❌"),IF(COUNTIF(Z46:AB46,"&gt;=5")&lt;=1,"✅","❌"))))</f>
        <v/>
      </c>
      <c r="AU46" s="31">
        <f>IF(OR(D46="",D45=""),"—",IF(AL45="","—",IF(ISNUMBER(SEARCH("大",AL45)),IF(COUNTIF(AI46:AK46,"&gt;=5")&gt;=2,"✅","❌"),IF(COUNTIF(AI46:AK46,"&gt;=5")&lt;=1,"✅","❌"))))</f>
        <v/>
      </c>
      <c r="AW46" s="36" t="n"/>
    </row>
    <row r="47" ht="18" customHeight="1">
      <c r="A47" s="16" t="n">
        <v>43</v>
      </c>
      <c r="B47" s="114" t="n"/>
      <c r="C47" s="18" t="n"/>
      <c r="D47" s="115" t="n"/>
      <c r="E47" s="115" t="n"/>
      <c r="F47" s="115" t="n"/>
      <c r="G47" s="3" t="n"/>
      <c r="H47" s="19">
        <f>IF(D47="","",VALUE(MID(TEXT(D47,"0000"),1,1)))</f>
        <v/>
      </c>
      <c r="I47" s="19">
        <f>IF(E47="","",VALUE(MID(TEXT(E47,"0000"),1,1)))</f>
        <v/>
      </c>
      <c r="J47" s="19">
        <f>IF(F47="","",VALUE(MID(TEXT(F47,"0000"),1,1)))</f>
        <v/>
      </c>
      <c r="K47" s="20">
        <f>IF(D47="","",IF(COUNTIF(H47:J47,"&gt;=5")=3,"🔴 全大",IF(COUNTIF(H47:J47,"&gt;=5")=0,"🔵 全小",IF(COUNTIF(H47:J47,"&gt;=5")=2,"▲ 偏大","▼ 偏小"))))</f>
        <v/>
      </c>
      <c r="L47" s="20">
        <f>IF(D47="","",IF((MOD(H47,2)=1)+(MOD(I47,2)=1)+(MOD(J47,2)=1)=3,"⚫ 全单",IF((MOD(H47,2)=1)+(MOD(I47,2)=1)+(MOD(J47,2)=1)=0,"🟣 全双",IF((MOD(H47,2)=1)+(MOD(I47,2)=1)+(MOD(J47,2)=1)=2,"◑ 偏单","◑ 偏双"))))</f>
        <v/>
      </c>
      <c r="M47" s="21">
        <f>IF(D47="","",IF(D46="",1,IF(ISNUMBER(SEARCH("大",K47))=ISNUMBER(SEARCH("大",K46)),M46+1,1)))</f>
        <v/>
      </c>
      <c r="N47" s="20">
        <f>IF(M47="","",IF(M47&gt;=4,"🚨 "&amp;M47&amp;"期·警惕反转",IF(M47=3,"⚠️ 3期连续","—")))</f>
        <v/>
      </c>
      <c r="O47" s="22">
        <f>IF(K47="","—",IF(ISNUMBER(SEARCH("大",K47)),IF(OR(K47="🔴 全大"),IF(M47&gt;=4,"大xxx 强·⚠️反转?",IF(M47=3,"大xxx 强·连3期","大xxx ✅强用")),"大xxx △弱参考"),IF(OR(K47="🔵 全小"),IF(M47&gt;=4,"小xxx 强·⚠️反转?",IF(M47=3,"小xxx 强·连3期","小xxx ✅强用")),"小xxx △弱参考")))</f>
        <v/>
      </c>
      <c r="P47" s="3" t="n"/>
      <c r="Q47" s="23">
        <f>IF(D47="","",VALUE(MID(TEXT(D47,"0000"),2,1)))</f>
        <v/>
      </c>
      <c r="R47" s="23">
        <f>IF(E47="","",VALUE(MID(TEXT(E47,"0000"),2,1)))</f>
        <v/>
      </c>
      <c r="S47" s="23">
        <f>IF(F47="","",VALUE(MID(TEXT(F47,"0000"),2,1)))</f>
        <v/>
      </c>
      <c r="T47" s="20">
        <f>IF(D47="","",IF(COUNTIF(Q47:S47,"&gt;=5")=3,"🔴 全大",IF(COUNTIF(Q47:S47,"&gt;=5")=0,"🔵 全小",IF(COUNTIF(Q47:S47,"&gt;=5")=2,"▲ 偏大","▼ 偏小"))))</f>
        <v/>
      </c>
      <c r="U47" s="20">
        <f>IF(D47="","",IF((MOD(Q47,2)=1)+(MOD(R47,2)=1)+(MOD(S47,2)=1)=3,"⚫ 全单",IF((MOD(Q47,2)=1)+(MOD(R47,2)=1)+(MOD(S47,2)=1)=0,"🟣 全双",IF((MOD(Q47,2)=1)+(MOD(R47,2)=1)+(MOD(S47,2)=1)=2,"◑ 偏单","◑ 偏双"))))</f>
        <v/>
      </c>
      <c r="V47" s="24">
        <f>IF(D47="","",IF(D46="",1,IF(ISNUMBER(SEARCH("大",T47))=ISNUMBER(SEARCH("大",T46)),V46+1,1)))</f>
        <v/>
      </c>
      <c r="W47" s="20">
        <f>IF(V47="","",IF(V47&gt;=4,"🚨 "&amp;V47&amp;"期·警惕反转",IF(V47=3,"⚠️ 3期连续","—")))</f>
        <v/>
      </c>
      <c r="X47" s="22">
        <f>IF(T47="","—",IF(ISNUMBER(SEARCH("大",T47)),IF(OR(T47="🔴 全大"),IF(V47&gt;=4,"x大xx 强·⚠️反转?",IF(V47=3,"x大xx 强·连3期","x大xx ✅强用")),"x大xx △弱参考"),IF(OR(T47="🔵 全小"),IF(V47&gt;=4,"x小xx 强·⚠️反转?",IF(V47=3,"x小xx 强·连3期","x小xx ✅强用")),"x小xx △弱参考")))</f>
        <v/>
      </c>
      <c r="Y47" s="3" t="n"/>
      <c r="Z47" s="25">
        <f>IF(D47="","",VALUE(MID(TEXT(D47,"0000"),3,1)))</f>
        <v/>
      </c>
      <c r="AA47" s="25">
        <f>IF(E47="","",VALUE(MID(TEXT(E47,"0000"),3,1)))</f>
        <v/>
      </c>
      <c r="AB47" s="25">
        <f>IF(F47="","",VALUE(MID(TEXT(F47,"0000"),3,1)))</f>
        <v/>
      </c>
      <c r="AC47" s="20">
        <f>IF(D47="","",IF(COUNTIF(Z47:AB47,"&gt;=5")=3,"🔴 全大",IF(COUNTIF(Z47:AB47,"&gt;=5")=0,"🔵 全小",IF(COUNTIF(Z47:AB47,"&gt;=5")=2,"▲ 偏大","▼ 偏小"))))</f>
        <v/>
      </c>
      <c r="AD47" s="20">
        <f>IF(D47="","",IF((MOD(Z47,2)=1)+(MOD(AA47,2)=1)+(MOD(AB47,2)=1)=3,"⚫ 全单",IF((MOD(Z47,2)=1)+(MOD(AA47,2)=1)+(MOD(AB47,2)=1)=0,"🟣 全双",IF((MOD(Z47,2)=1)+(MOD(AA47,2)=1)+(MOD(AB47,2)=1)=2,"◑ 偏单","◑ 偏双"))))</f>
        <v/>
      </c>
      <c r="AE47" s="26">
        <f>IF(D47="","",IF(D46="",1,IF(ISNUMBER(SEARCH("大",AC47))=ISNUMBER(SEARCH("大",AC46)),AE46+1,1)))</f>
        <v/>
      </c>
      <c r="AF47" s="20">
        <f>IF(AE47="","",IF(AE47&gt;=4,"🚨 "&amp;AE47&amp;"期·警惕反转",IF(AE47=3,"⚠️ 3期连续","—")))</f>
        <v/>
      </c>
      <c r="AG47" s="22">
        <f>IF(AC47="","—",IF(ISNUMBER(SEARCH("大",AC47)),IF(OR(AC47="🔴 全大"),IF(AE47&gt;=4,"xx大x 强·⚠️反转?",IF(AE47=3,"xx大x 强·连3期","xx大x ✅强用")),"xx大x △弱参考"),IF(OR(AC47="🔵 全小"),IF(AE47&gt;=4,"xx小x 强·⚠️反转?",IF(AE47=3,"xx小x 强·连3期","xx小x ✅强用")),"xx小x △弱参考")))</f>
        <v/>
      </c>
      <c r="AH47" s="3" t="n"/>
      <c r="AI47" s="27">
        <f>IF(D47="","",VALUE(MID(TEXT(D47,"0000"),4,1)))</f>
        <v/>
      </c>
      <c r="AJ47" s="27">
        <f>IF(E47="","",VALUE(MID(TEXT(E47,"0000"),4,1)))</f>
        <v/>
      </c>
      <c r="AK47" s="27">
        <f>IF(F47="","",VALUE(MID(TEXT(F47,"0000"),4,1)))</f>
        <v/>
      </c>
      <c r="AL47" s="20">
        <f>IF(D47="","",IF(COUNTIF(AI47:AK47,"&gt;=5")=3,"🔴 全大",IF(COUNTIF(AI47:AK47,"&gt;=5")=0,"🔵 全小",IF(COUNTIF(AI47:AK47,"&gt;=5")=2,"▲ 偏大","▼ 偏小"))))</f>
        <v/>
      </c>
      <c r="AM47" s="20">
        <f>IF(D47="","",IF((MOD(AI47,2)=1)+(MOD(AJ47,2)=1)+(MOD(AK47,2)=1)=3,"⚫ 全单",IF((MOD(AI47,2)=1)+(MOD(AJ47,2)=1)+(MOD(AK47,2)=1)=0,"🟣 全双",IF((MOD(AI47,2)=1)+(MOD(AJ47,2)=1)+(MOD(AK47,2)=1)=2,"◑ 偏单","◑ 偏双"))))</f>
        <v/>
      </c>
      <c r="AN47" s="28">
        <f>IF(D47="","",IF(D46="",1,IF(ISNUMBER(SEARCH("大",AL47))=ISNUMBER(SEARCH("大",AL46)),AN46+1,1)))</f>
        <v/>
      </c>
      <c r="AO47" s="20">
        <f>IF(AN47="","",IF(AN47&gt;=4,"🚨 "&amp;AN47&amp;"期·警惕反转",IF(AN47=3,"⚠️ 3期连续","—")))</f>
        <v/>
      </c>
      <c r="AP47" s="22">
        <f>IF(AL47="","—",IF(ISNUMBER(SEARCH("大",AL47)),IF(OR(AL47="🔴 全大"),IF(AN47&gt;=4,"xxx大 强·⚠️反转?",IF(AN47=3,"xxx大 强·连3期","xxx大 ✅强用")),"xxx大 △弱参考"),IF(OR(AL47="🔵 全小"),IF(AN47&gt;=4,"xxx小 强·⚠️反转?",IF(AN47=3,"xxx小 强·连3期","xxx小 ✅强用")),"xxx小 △弱参考")))</f>
        <v/>
      </c>
      <c r="AQ47" s="3" t="n"/>
      <c r="AR47" s="20">
        <f>IF(OR(D47="",D46=""),"—",IF(K46="","—",IF(ISNUMBER(SEARCH("大",K46)),IF(COUNTIF(H47:J47,"&gt;=5")&gt;=2,"✅","❌"),IF(COUNTIF(H47:J47,"&gt;=5")&lt;=1,"✅","❌"))))</f>
        <v/>
      </c>
      <c r="AS47" s="20">
        <f>IF(OR(D47="",D46=""),"—",IF(T46="","—",IF(ISNUMBER(SEARCH("大",T46)),IF(COUNTIF(Q47:S47,"&gt;=5")&gt;=2,"✅","❌"),IF(COUNTIF(Q47:S47,"&gt;=5")&lt;=1,"✅","❌"))))</f>
        <v/>
      </c>
      <c r="AT47" s="20">
        <f>IF(OR(D47="",D46=""),"—",IF(AC46="","—",IF(ISNUMBER(SEARCH("大",AC46)),IF(COUNTIF(Z47:AB47,"&gt;=5")&gt;=2,"✅","❌"),IF(COUNTIF(Z47:AB47,"&gt;=5")&lt;=1,"✅","❌"))))</f>
        <v/>
      </c>
      <c r="AU47" s="20">
        <f>IF(OR(D47="",D46=""),"—",IF(AL46="","—",IF(ISNUMBER(SEARCH("大",AL46)),IF(COUNTIF(AI47:AK47,"&gt;=5")&gt;=2,"✅","❌"),IF(COUNTIF(AI47:AK47,"&gt;=5")&lt;=1,"✅","❌"))))</f>
        <v/>
      </c>
      <c r="AW47" s="30" t="n"/>
    </row>
    <row r="48" ht="18" customHeight="1">
      <c r="A48" s="16" t="n">
        <v>44</v>
      </c>
      <c r="B48" s="116" t="n"/>
      <c r="C48" s="40" t="n"/>
      <c r="D48" s="117" t="n"/>
      <c r="E48" s="117" t="n"/>
      <c r="F48" s="117" t="n"/>
      <c r="G48" s="3" t="n"/>
      <c r="H48" s="19">
        <f>IF(D48="","",VALUE(MID(TEXT(D48,"0000"),1,1)))</f>
        <v/>
      </c>
      <c r="I48" s="19">
        <f>IF(E48="","",VALUE(MID(TEXT(E48,"0000"),1,1)))</f>
        <v/>
      </c>
      <c r="J48" s="19">
        <f>IF(F48="","",VALUE(MID(TEXT(F48,"0000"),1,1)))</f>
        <v/>
      </c>
      <c r="K48" s="31">
        <f>IF(D48="","",IF(COUNTIF(H48:J48,"&gt;=5")=3,"🔴 全大",IF(COUNTIF(H48:J48,"&gt;=5")=0,"🔵 全小",IF(COUNTIF(H48:J48,"&gt;=5")=2,"▲ 偏大","▼ 偏小"))))</f>
        <v/>
      </c>
      <c r="L48" s="31">
        <f>IF(D48="","",IF((MOD(H48,2)=1)+(MOD(I48,2)=1)+(MOD(J48,2)=1)=3,"⚫ 全单",IF((MOD(H48,2)=1)+(MOD(I48,2)=1)+(MOD(J48,2)=1)=0,"🟣 全双",IF((MOD(H48,2)=1)+(MOD(I48,2)=1)+(MOD(J48,2)=1)=2,"◑ 偏单","◑ 偏双"))))</f>
        <v/>
      </c>
      <c r="M48" s="32">
        <f>IF(D48="","",IF(D47="",1,IF(ISNUMBER(SEARCH("大",K48))=ISNUMBER(SEARCH("大",K47)),M47+1,1)))</f>
        <v/>
      </c>
      <c r="N48" s="31">
        <f>IF(M48="","",IF(M48&gt;=4,"🚨 "&amp;M48&amp;"期·警惕反转",IF(M48=3,"⚠️ 3期连续","—")))</f>
        <v/>
      </c>
      <c r="O48" s="22">
        <f>IF(K48="","—",IF(ISNUMBER(SEARCH("大",K48)),IF(OR(K48="🔴 全大"),IF(M48&gt;=4,"大xxx 强·⚠️反转?",IF(M48=3,"大xxx 强·连3期","大xxx ✅强用")),"大xxx △弱参考"),IF(OR(K48="🔵 全小"),IF(M48&gt;=4,"小xxx 强·⚠️反转?",IF(M48=3,"小xxx 强·连3期","小xxx ✅强用")),"小xxx △弱参考")))</f>
        <v/>
      </c>
      <c r="P48" s="3" t="n"/>
      <c r="Q48" s="23">
        <f>IF(D48="","",VALUE(MID(TEXT(D48,"0000"),2,1)))</f>
        <v/>
      </c>
      <c r="R48" s="23">
        <f>IF(E48="","",VALUE(MID(TEXT(E48,"0000"),2,1)))</f>
        <v/>
      </c>
      <c r="S48" s="23">
        <f>IF(F48="","",VALUE(MID(TEXT(F48,"0000"),2,1)))</f>
        <v/>
      </c>
      <c r="T48" s="31">
        <f>IF(D48="","",IF(COUNTIF(Q48:S48,"&gt;=5")=3,"🔴 全大",IF(COUNTIF(Q48:S48,"&gt;=5")=0,"🔵 全小",IF(COUNTIF(Q48:S48,"&gt;=5")=2,"▲ 偏大","▼ 偏小"))))</f>
        <v/>
      </c>
      <c r="U48" s="31">
        <f>IF(D48="","",IF((MOD(Q48,2)=1)+(MOD(R48,2)=1)+(MOD(S48,2)=1)=3,"⚫ 全单",IF((MOD(Q48,2)=1)+(MOD(R48,2)=1)+(MOD(S48,2)=1)=0,"🟣 全双",IF((MOD(Q48,2)=1)+(MOD(R48,2)=1)+(MOD(S48,2)=1)=2,"◑ 偏单","◑ 偏双"))))</f>
        <v/>
      </c>
      <c r="V48" s="33">
        <f>IF(D48="","",IF(D47="",1,IF(ISNUMBER(SEARCH("大",T48))=ISNUMBER(SEARCH("大",T47)),V47+1,1)))</f>
        <v/>
      </c>
      <c r="W48" s="31">
        <f>IF(V48="","",IF(V48&gt;=4,"🚨 "&amp;V48&amp;"期·警惕反转",IF(V48=3,"⚠️ 3期连续","—")))</f>
        <v/>
      </c>
      <c r="X48" s="22">
        <f>IF(T48="","—",IF(ISNUMBER(SEARCH("大",T48)),IF(OR(T48="🔴 全大"),IF(V48&gt;=4,"x大xx 强·⚠️反转?",IF(V48=3,"x大xx 强·连3期","x大xx ✅强用")),"x大xx △弱参考"),IF(OR(T48="🔵 全小"),IF(V48&gt;=4,"x小xx 强·⚠️反转?",IF(V48=3,"x小xx 强·连3期","x小xx ✅强用")),"x小xx △弱参考")))</f>
        <v/>
      </c>
      <c r="Y48" s="3" t="n"/>
      <c r="Z48" s="25">
        <f>IF(D48="","",VALUE(MID(TEXT(D48,"0000"),3,1)))</f>
        <v/>
      </c>
      <c r="AA48" s="25">
        <f>IF(E48="","",VALUE(MID(TEXT(E48,"0000"),3,1)))</f>
        <v/>
      </c>
      <c r="AB48" s="25">
        <f>IF(F48="","",VALUE(MID(TEXT(F48,"0000"),3,1)))</f>
        <v/>
      </c>
      <c r="AC48" s="31">
        <f>IF(D48="","",IF(COUNTIF(Z48:AB48,"&gt;=5")=3,"🔴 全大",IF(COUNTIF(Z48:AB48,"&gt;=5")=0,"🔵 全小",IF(COUNTIF(Z48:AB48,"&gt;=5")=2,"▲ 偏大","▼ 偏小"))))</f>
        <v/>
      </c>
      <c r="AD48" s="31">
        <f>IF(D48="","",IF((MOD(Z48,2)=1)+(MOD(AA48,2)=1)+(MOD(AB48,2)=1)=3,"⚫ 全单",IF((MOD(Z48,2)=1)+(MOD(AA48,2)=1)+(MOD(AB48,2)=1)=0,"🟣 全双",IF((MOD(Z48,2)=1)+(MOD(AA48,2)=1)+(MOD(AB48,2)=1)=2,"◑ 偏单","◑ 偏双"))))</f>
        <v/>
      </c>
      <c r="AE48" s="34">
        <f>IF(D48="","",IF(D47="",1,IF(ISNUMBER(SEARCH("大",AC48))=ISNUMBER(SEARCH("大",AC47)),AE47+1,1)))</f>
        <v/>
      </c>
      <c r="AF48" s="31">
        <f>IF(AE48="","",IF(AE48&gt;=4,"🚨 "&amp;AE48&amp;"期·警惕反转",IF(AE48=3,"⚠️ 3期连续","—")))</f>
        <v/>
      </c>
      <c r="AG48" s="22">
        <f>IF(AC48="","—",IF(ISNUMBER(SEARCH("大",AC48)),IF(OR(AC48="🔴 全大"),IF(AE48&gt;=4,"xx大x 强·⚠️反转?",IF(AE48=3,"xx大x 强·连3期","xx大x ✅强用")),"xx大x △弱参考"),IF(OR(AC48="🔵 全小"),IF(AE48&gt;=4,"xx小x 强·⚠️反转?",IF(AE48=3,"xx小x 强·连3期","xx小x ✅强用")),"xx小x △弱参考")))</f>
        <v/>
      </c>
      <c r="AH48" s="3" t="n"/>
      <c r="AI48" s="27">
        <f>IF(D48="","",VALUE(MID(TEXT(D48,"0000"),4,1)))</f>
        <v/>
      </c>
      <c r="AJ48" s="27">
        <f>IF(E48="","",VALUE(MID(TEXT(E48,"0000"),4,1)))</f>
        <v/>
      </c>
      <c r="AK48" s="27">
        <f>IF(F48="","",VALUE(MID(TEXT(F48,"0000"),4,1)))</f>
        <v/>
      </c>
      <c r="AL48" s="31">
        <f>IF(D48="","",IF(COUNTIF(AI48:AK48,"&gt;=5")=3,"🔴 全大",IF(COUNTIF(AI48:AK48,"&gt;=5")=0,"🔵 全小",IF(COUNTIF(AI48:AK48,"&gt;=5")=2,"▲ 偏大","▼ 偏小"))))</f>
        <v/>
      </c>
      <c r="AM48" s="31">
        <f>IF(D48="","",IF((MOD(AI48,2)=1)+(MOD(AJ48,2)=1)+(MOD(AK48,2)=1)=3,"⚫ 全单",IF((MOD(AI48,2)=1)+(MOD(AJ48,2)=1)+(MOD(AK48,2)=1)=0,"🟣 全双",IF((MOD(AI48,2)=1)+(MOD(AJ48,2)=1)+(MOD(AK48,2)=1)=2,"◑ 偏单","◑ 偏双"))))</f>
        <v/>
      </c>
      <c r="AN48" s="35">
        <f>IF(D48="","",IF(D47="",1,IF(ISNUMBER(SEARCH("大",AL48))=ISNUMBER(SEARCH("大",AL47)),AN47+1,1)))</f>
        <v/>
      </c>
      <c r="AO48" s="31">
        <f>IF(AN48="","",IF(AN48&gt;=4,"🚨 "&amp;AN48&amp;"期·警惕反转",IF(AN48=3,"⚠️ 3期连续","—")))</f>
        <v/>
      </c>
      <c r="AP48" s="22">
        <f>IF(AL48="","—",IF(ISNUMBER(SEARCH("大",AL48)),IF(OR(AL48="🔴 全大"),IF(AN48&gt;=4,"xxx大 强·⚠️反转?",IF(AN48=3,"xxx大 强·连3期","xxx大 ✅强用")),"xxx大 △弱参考"),IF(OR(AL48="🔵 全小"),IF(AN48&gt;=4,"xxx小 强·⚠️反转?",IF(AN48=3,"xxx小 强·连3期","xxx小 ✅强用")),"xxx小 △弱参考")))</f>
        <v/>
      </c>
      <c r="AQ48" s="3" t="n"/>
      <c r="AR48" s="31">
        <f>IF(OR(D48="",D47=""),"—",IF(K47="","—",IF(ISNUMBER(SEARCH("大",K47)),IF(COUNTIF(H48:J48,"&gt;=5")&gt;=2,"✅","❌"),IF(COUNTIF(H48:J48,"&gt;=5")&lt;=1,"✅","❌"))))</f>
        <v/>
      </c>
      <c r="AS48" s="31">
        <f>IF(OR(D48="",D47=""),"—",IF(T47="","—",IF(ISNUMBER(SEARCH("大",T47)),IF(COUNTIF(Q48:S48,"&gt;=5")&gt;=2,"✅","❌"),IF(COUNTIF(Q48:S48,"&gt;=5")&lt;=1,"✅","❌"))))</f>
        <v/>
      </c>
      <c r="AT48" s="31">
        <f>IF(OR(D48="",D47=""),"—",IF(AC47="","—",IF(ISNUMBER(SEARCH("大",AC47)),IF(COUNTIF(Z48:AB48,"&gt;=5")&gt;=2,"✅","❌"),IF(COUNTIF(Z48:AB48,"&gt;=5")&lt;=1,"✅","❌"))))</f>
        <v/>
      </c>
      <c r="AU48" s="31">
        <f>IF(OR(D48="",D47=""),"—",IF(AL47="","—",IF(ISNUMBER(SEARCH("大",AL47)),IF(COUNTIF(AI48:AK48,"&gt;=5")&gt;=2,"✅","❌"),IF(COUNTIF(AI48:AK48,"&gt;=5")&lt;=1,"✅","❌"))))</f>
        <v/>
      </c>
      <c r="AW48" s="36" t="n"/>
    </row>
    <row r="49" ht="18" customHeight="1">
      <c r="A49" s="16" t="n">
        <v>45</v>
      </c>
      <c r="B49" s="114" t="n"/>
      <c r="C49" s="18" t="n"/>
      <c r="D49" s="115" t="n"/>
      <c r="E49" s="115" t="n"/>
      <c r="F49" s="115" t="n"/>
      <c r="G49" s="3" t="n"/>
      <c r="H49" s="19">
        <f>IF(D49="","",VALUE(MID(TEXT(D49,"0000"),1,1)))</f>
        <v/>
      </c>
      <c r="I49" s="19">
        <f>IF(E49="","",VALUE(MID(TEXT(E49,"0000"),1,1)))</f>
        <v/>
      </c>
      <c r="J49" s="19">
        <f>IF(F49="","",VALUE(MID(TEXT(F49,"0000"),1,1)))</f>
        <v/>
      </c>
      <c r="K49" s="20">
        <f>IF(D49="","",IF(COUNTIF(H49:J49,"&gt;=5")=3,"🔴 全大",IF(COUNTIF(H49:J49,"&gt;=5")=0,"🔵 全小",IF(COUNTIF(H49:J49,"&gt;=5")=2,"▲ 偏大","▼ 偏小"))))</f>
        <v/>
      </c>
      <c r="L49" s="20">
        <f>IF(D49="","",IF((MOD(H49,2)=1)+(MOD(I49,2)=1)+(MOD(J49,2)=1)=3,"⚫ 全单",IF((MOD(H49,2)=1)+(MOD(I49,2)=1)+(MOD(J49,2)=1)=0,"🟣 全双",IF((MOD(H49,2)=1)+(MOD(I49,2)=1)+(MOD(J49,2)=1)=2,"◑ 偏单","◑ 偏双"))))</f>
        <v/>
      </c>
      <c r="M49" s="21">
        <f>IF(D49="","",IF(D48="",1,IF(ISNUMBER(SEARCH("大",K49))=ISNUMBER(SEARCH("大",K48)),M48+1,1)))</f>
        <v/>
      </c>
      <c r="N49" s="20">
        <f>IF(M49="","",IF(M49&gt;=4,"🚨 "&amp;M49&amp;"期·警惕反转",IF(M49=3,"⚠️ 3期连续","—")))</f>
        <v/>
      </c>
      <c r="O49" s="22">
        <f>IF(K49="","—",IF(ISNUMBER(SEARCH("大",K49)),IF(OR(K49="🔴 全大"),IF(M49&gt;=4,"大xxx 强·⚠️反转?",IF(M49=3,"大xxx 强·连3期","大xxx ✅强用")),"大xxx △弱参考"),IF(OR(K49="🔵 全小"),IF(M49&gt;=4,"小xxx 强·⚠️反转?",IF(M49=3,"小xxx 强·连3期","小xxx ✅强用")),"小xxx △弱参考")))</f>
        <v/>
      </c>
      <c r="P49" s="3" t="n"/>
      <c r="Q49" s="23">
        <f>IF(D49="","",VALUE(MID(TEXT(D49,"0000"),2,1)))</f>
        <v/>
      </c>
      <c r="R49" s="23">
        <f>IF(E49="","",VALUE(MID(TEXT(E49,"0000"),2,1)))</f>
        <v/>
      </c>
      <c r="S49" s="23">
        <f>IF(F49="","",VALUE(MID(TEXT(F49,"0000"),2,1)))</f>
        <v/>
      </c>
      <c r="T49" s="20">
        <f>IF(D49="","",IF(COUNTIF(Q49:S49,"&gt;=5")=3,"🔴 全大",IF(COUNTIF(Q49:S49,"&gt;=5")=0,"🔵 全小",IF(COUNTIF(Q49:S49,"&gt;=5")=2,"▲ 偏大","▼ 偏小"))))</f>
        <v/>
      </c>
      <c r="U49" s="20">
        <f>IF(D49="","",IF((MOD(Q49,2)=1)+(MOD(R49,2)=1)+(MOD(S49,2)=1)=3,"⚫ 全单",IF((MOD(Q49,2)=1)+(MOD(R49,2)=1)+(MOD(S49,2)=1)=0,"🟣 全双",IF((MOD(Q49,2)=1)+(MOD(R49,2)=1)+(MOD(S49,2)=1)=2,"◑ 偏单","◑ 偏双"))))</f>
        <v/>
      </c>
      <c r="V49" s="24">
        <f>IF(D49="","",IF(D48="",1,IF(ISNUMBER(SEARCH("大",T49))=ISNUMBER(SEARCH("大",T48)),V48+1,1)))</f>
        <v/>
      </c>
      <c r="W49" s="20">
        <f>IF(V49="","",IF(V49&gt;=4,"🚨 "&amp;V49&amp;"期·警惕反转",IF(V49=3,"⚠️ 3期连续","—")))</f>
        <v/>
      </c>
      <c r="X49" s="22">
        <f>IF(T49="","—",IF(ISNUMBER(SEARCH("大",T49)),IF(OR(T49="🔴 全大"),IF(V49&gt;=4,"x大xx 强·⚠️反转?",IF(V49=3,"x大xx 强·连3期","x大xx ✅强用")),"x大xx △弱参考"),IF(OR(T49="🔵 全小"),IF(V49&gt;=4,"x小xx 强·⚠️反转?",IF(V49=3,"x小xx 强·连3期","x小xx ✅强用")),"x小xx △弱参考")))</f>
        <v/>
      </c>
      <c r="Y49" s="3" t="n"/>
      <c r="Z49" s="25">
        <f>IF(D49="","",VALUE(MID(TEXT(D49,"0000"),3,1)))</f>
        <v/>
      </c>
      <c r="AA49" s="25">
        <f>IF(E49="","",VALUE(MID(TEXT(E49,"0000"),3,1)))</f>
        <v/>
      </c>
      <c r="AB49" s="25">
        <f>IF(F49="","",VALUE(MID(TEXT(F49,"0000"),3,1)))</f>
        <v/>
      </c>
      <c r="AC49" s="20">
        <f>IF(D49="","",IF(COUNTIF(Z49:AB49,"&gt;=5")=3,"🔴 全大",IF(COUNTIF(Z49:AB49,"&gt;=5")=0,"🔵 全小",IF(COUNTIF(Z49:AB49,"&gt;=5")=2,"▲ 偏大","▼ 偏小"))))</f>
        <v/>
      </c>
      <c r="AD49" s="20">
        <f>IF(D49="","",IF((MOD(Z49,2)=1)+(MOD(AA49,2)=1)+(MOD(AB49,2)=1)=3,"⚫ 全单",IF((MOD(Z49,2)=1)+(MOD(AA49,2)=1)+(MOD(AB49,2)=1)=0,"🟣 全双",IF((MOD(Z49,2)=1)+(MOD(AA49,2)=1)+(MOD(AB49,2)=1)=2,"◑ 偏单","◑ 偏双"))))</f>
        <v/>
      </c>
      <c r="AE49" s="26">
        <f>IF(D49="","",IF(D48="",1,IF(ISNUMBER(SEARCH("大",AC49))=ISNUMBER(SEARCH("大",AC48)),AE48+1,1)))</f>
        <v/>
      </c>
      <c r="AF49" s="20">
        <f>IF(AE49="","",IF(AE49&gt;=4,"🚨 "&amp;AE49&amp;"期·警惕反转",IF(AE49=3,"⚠️ 3期连续","—")))</f>
        <v/>
      </c>
      <c r="AG49" s="22">
        <f>IF(AC49="","—",IF(ISNUMBER(SEARCH("大",AC49)),IF(OR(AC49="🔴 全大"),IF(AE49&gt;=4,"xx大x 强·⚠️反转?",IF(AE49=3,"xx大x 强·连3期","xx大x ✅强用")),"xx大x △弱参考"),IF(OR(AC49="🔵 全小"),IF(AE49&gt;=4,"xx小x 强·⚠️反转?",IF(AE49=3,"xx小x 强·连3期","xx小x ✅强用")),"xx小x △弱参考")))</f>
        <v/>
      </c>
      <c r="AH49" s="3" t="n"/>
      <c r="AI49" s="27">
        <f>IF(D49="","",VALUE(MID(TEXT(D49,"0000"),4,1)))</f>
        <v/>
      </c>
      <c r="AJ49" s="27">
        <f>IF(E49="","",VALUE(MID(TEXT(E49,"0000"),4,1)))</f>
        <v/>
      </c>
      <c r="AK49" s="27">
        <f>IF(F49="","",VALUE(MID(TEXT(F49,"0000"),4,1)))</f>
        <v/>
      </c>
      <c r="AL49" s="20">
        <f>IF(D49="","",IF(COUNTIF(AI49:AK49,"&gt;=5")=3,"🔴 全大",IF(COUNTIF(AI49:AK49,"&gt;=5")=0,"🔵 全小",IF(COUNTIF(AI49:AK49,"&gt;=5")=2,"▲ 偏大","▼ 偏小"))))</f>
        <v/>
      </c>
      <c r="AM49" s="20">
        <f>IF(D49="","",IF((MOD(AI49,2)=1)+(MOD(AJ49,2)=1)+(MOD(AK49,2)=1)=3,"⚫ 全单",IF((MOD(AI49,2)=1)+(MOD(AJ49,2)=1)+(MOD(AK49,2)=1)=0,"🟣 全双",IF((MOD(AI49,2)=1)+(MOD(AJ49,2)=1)+(MOD(AK49,2)=1)=2,"◑ 偏单","◑ 偏双"))))</f>
        <v/>
      </c>
      <c r="AN49" s="28">
        <f>IF(D49="","",IF(D48="",1,IF(ISNUMBER(SEARCH("大",AL49))=ISNUMBER(SEARCH("大",AL48)),AN48+1,1)))</f>
        <v/>
      </c>
      <c r="AO49" s="20">
        <f>IF(AN49="","",IF(AN49&gt;=4,"🚨 "&amp;AN49&amp;"期·警惕反转",IF(AN49=3,"⚠️ 3期连续","—")))</f>
        <v/>
      </c>
      <c r="AP49" s="22">
        <f>IF(AL49="","—",IF(ISNUMBER(SEARCH("大",AL49)),IF(OR(AL49="🔴 全大"),IF(AN49&gt;=4,"xxx大 强·⚠️反转?",IF(AN49=3,"xxx大 强·连3期","xxx大 ✅强用")),"xxx大 △弱参考"),IF(OR(AL49="🔵 全小"),IF(AN49&gt;=4,"xxx小 强·⚠️反转?",IF(AN49=3,"xxx小 强·连3期","xxx小 ✅强用")),"xxx小 △弱参考")))</f>
        <v/>
      </c>
      <c r="AQ49" s="3" t="n"/>
      <c r="AR49" s="20">
        <f>IF(OR(D49="",D48=""),"—",IF(K48="","—",IF(ISNUMBER(SEARCH("大",K48)),IF(COUNTIF(H49:J49,"&gt;=5")&gt;=2,"✅","❌"),IF(COUNTIF(H49:J49,"&gt;=5")&lt;=1,"✅","❌"))))</f>
        <v/>
      </c>
      <c r="AS49" s="20">
        <f>IF(OR(D49="",D48=""),"—",IF(T48="","—",IF(ISNUMBER(SEARCH("大",T48)),IF(COUNTIF(Q49:S49,"&gt;=5")&gt;=2,"✅","❌"),IF(COUNTIF(Q49:S49,"&gt;=5")&lt;=1,"✅","❌"))))</f>
        <v/>
      </c>
      <c r="AT49" s="20">
        <f>IF(OR(D49="",D48=""),"—",IF(AC48="","—",IF(ISNUMBER(SEARCH("大",AC48)),IF(COUNTIF(Z49:AB49,"&gt;=5")&gt;=2,"✅","❌"),IF(COUNTIF(Z49:AB49,"&gt;=5")&lt;=1,"✅","❌"))))</f>
        <v/>
      </c>
      <c r="AU49" s="20">
        <f>IF(OR(D49="",D48=""),"—",IF(AL48="","—",IF(ISNUMBER(SEARCH("大",AL48)),IF(COUNTIF(AI49:AK49,"&gt;=5")&gt;=2,"✅","❌"),IF(COUNTIF(AI49:AK49,"&gt;=5")&lt;=1,"✅","❌"))))</f>
        <v/>
      </c>
      <c r="AW49" s="30" t="n"/>
    </row>
    <row r="50" ht="18" customHeight="1">
      <c r="A50" s="16" t="n">
        <v>46</v>
      </c>
      <c r="B50" s="116" t="n"/>
      <c r="C50" s="40" t="n"/>
      <c r="D50" s="117" t="n"/>
      <c r="E50" s="117" t="n"/>
      <c r="F50" s="117" t="n"/>
      <c r="G50" s="3" t="n"/>
      <c r="H50" s="19">
        <f>IF(D50="","",VALUE(MID(TEXT(D50,"0000"),1,1)))</f>
        <v/>
      </c>
      <c r="I50" s="19">
        <f>IF(E50="","",VALUE(MID(TEXT(E50,"0000"),1,1)))</f>
        <v/>
      </c>
      <c r="J50" s="19">
        <f>IF(F50="","",VALUE(MID(TEXT(F50,"0000"),1,1)))</f>
        <v/>
      </c>
      <c r="K50" s="31">
        <f>IF(D50="","",IF(COUNTIF(H50:J50,"&gt;=5")=3,"🔴 全大",IF(COUNTIF(H50:J50,"&gt;=5")=0,"🔵 全小",IF(COUNTIF(H50:J50,"&gt;=5")=2,"▲ 偏大","▼ 偏小"))))</f>
        <v/>
      </c>
      <c r="L50" s="31">
        <f>IF(D50="","",IF((MOD(H50,2)=1)+(MOD(I50,2)=1)+(MOD(J50,2)=1)=3,"⚫ 全单",IF((MOD(H50,2)=1)+(MOD(I50,2)=1)+(MOD(J50,2)=1)=0,"🟣 全双",IF((MOD(H50,2)=1)+(MOD(I50,2)=1)+(MOD(J50,2)=1)=2,"◑ 偏单","◑ 偏双"))))</f>
        <v/>
      </c>
      <c r="M50" s="32">
        <f>IF(D50="","",IF(D49="",1,IF(ISNUMBER(SEARCH("大",K50))=ISNUMBER(SEARCH("大",K49)),M49+1,1)))</f>
        <v/>
      </c>
      <c r="N50" s="31">
        <f>IF(M50="","",IF(M50&gt;=4,"🚨 "&amp;M50&amp;"期·警惕反转",IF(M50=3,"⚠️ 3期连续","—")))</f>
        <v/>
      </c>
      <c r="O50" s="22">
        <f>IF(K50="","—",IF(ISNUMBER(SEARCH("大",K50)),IF(OR(K50="🔴 全大"),IF(M50&gt;=4,"大xxx 强·⚠️反转?",IF(M50=3,"大xxx 强·连3期","大xxx ✅强用")),"大xxx △弱参考"),IF(OR(K50="🔵 全小"),IF(M50&gt;=4,"小xxx 强·⚠️反转?",IF(M50=3,"小xxx 强·连3期","小xxx ✅强用")),"小xxx △弱参考")))</f>
        <v/>
      </c>
      <c r="P50" s="3" t="n"/>
      <c r="Q50" s="23">
        <f>IF(D50="","",VALUE(MID(TEXT(D50,"0000"),2,1)))</f>
        <v/>
      </c>
      <c r="R50" s="23">
        <f>IF(E50="","",VALUE(MID(TEXT(E50,"0000"),2,1)))</f>
        <v/>
      </c>
      <c r="S50" s="23">
        <f>IF(F50="","",VALUE(MID(TEXT(F50,"0000"),2,1)))</f>
        <v/>
      </c>
      <c r="T50" s="31">
        <f>IF(D50="","",IF(COUNTIF(Q50:S50,"&gt;=5")=3,"🔴 全大",IF(COUNTIF(Q50:S50,"&gt;=5")=0,"🔵 全小",IF(COUNTIF(Q50:S50,"&gt;=5")=2,"▲ 偏大","▼ 偏小"))))</f>
        <v/>
      </c>
      <c r="U50" s="31">
        <f>IF(D50="","",IF((MOD(Q50,2)=1)+(MOD(R50,2)=1)+(MOD(S50,2)=1)=3,"⚫ 全单",IF((MOD(Q50,2)=1)+(MOD(R50,2)=1)+(MOD(S50,2)=1)=0,"🟣 全双",IF((MOD(Q50,2)=1)+(MOD(R50,2)=1)+(MOD(S50,2)=1)=2,"◑ 偏单","◑ 偏双"))))</f>
        <v/>
      </c>
      <c r="V50" s="33">
        <f>IF(D50="","",IF(D49="",1,IF(ISNUMBER(SEARCH("大",T50))=ISNUMBER(SEARCH("大",T49)),V49+1,1)))</f>
        <v/>
      </c>
      <c r="W50" s="31">
        <f>IF(V50="","",IF(V50&gt;=4,"🚨 "&amp;V50&amp;"期·警惕反转",IF(V50=3,"⚠️ 3期连续","—")))</f>
        <v/>
      </c>
      <c r="X50" s="22">
        <f>IF(T50="","—",IF(ISNUMBER(SEARCH("大",T50)),IF(OR(T50="🔴 全大"),IF(V50&gt;=4,"x大xx 强·⚠️反转?",IF(V50=3,"x大xx 强·连3期","x大xx ✅强用")),"x大xx △弱参考"),IF(OR(T50="🔵 全小"),IF(V50&gt;=4,"x小xx 强·⚠️反转?",IF(V50=3,"x小xx 强·连3期","x小xx ✅强用")),"x小xx △弱参考")))</f>
        <v/>
      </c>
      <c r="Y50" s="3" t="n"/>
      <c r="Z50" s="25">
        <f>IF(D50="","",VALUE(MID(TEXT(D50,"0000"),3,1)))</f>
        <v/>
      </c>
      <c r="AA50" s="25">
        <f>IF(E50="","",VALUE(MID(TEXT(E50,"0000"),3,1)))</f>
        <v/>
      </c>
      <c r="AB50" s="25">
        <f>IF(F50="","",VALUE(MID(TEXT(F50,"0000"),3,1)))</f>
        <v/>
      </c>
      <c r="AC50" s="31">
        <f>IF(D50="","",IF(COUNTIF(Z50:AB50,"&gt;=5")=3,"🔴 全大",IF(COUNTIF(Z50:AB50,"&gt;=5")=0,"🔵 全小",IF(COUNTIF(Z50:AB50,"&gt;=5")=2,"▲ 偏大","▼ 偏小"))))</f>
        <v/>
      </c>
      <c r="AD50" s="31">
        <f>IF(D50="","",IF((MOD(Z50,2)=1)+(MOD(AA50,2)=1)+(MOD(AB50,2)=1)=3,"⚫ 全单",IF((MOD(Z50,2)=1)+(MOD(AA50,2)=1)+(MOD(AB50,2)=1)=0,"🟣 全双",IF((MOD(Z50,2)=1)+(MOD(AA50,2)=1)+(MOD(AB50,2)=1)=2,"◑ 偏单","◑ 偏双"))))</f>
        <v/>
      </c>
      <c r="AE50" s="34">
        <f>IF(D50="","",IF(D49="",1,IF(ISNUMBER(SEARCH("大",AC50))=ISNUMBER(SEARCH("大",AC49)),AE49+1,1)))</f>
        <v/>
      </c>
      <c r="AF50" s="31">
        <f>IF(AE50="","",IF(AE50&gt;=4,"🚨 "&amp;AE50&amp;"期·警惕反转",IF(AE50=3,"⚠️ 3期连续","—")))</f>
        <v/>
      </c>
      <c r="AG50" s="22">
        <f>IF(AC50="","—",IF(ISNUMBER(SEARCH("大",AC50)),IF(OR(AC50="🔴 全大"),IF(AE50&gt;=4,"xx大x 强·⚠️反转?",IF(AE50=3,"xx大x 强·连3期","xx大x ✅强用")),"xx大x △弱参考"),IF(OR(AC50="🔵 全小"),IF(AE50&gt;=4,"xx小x 强·⚠️反转?",IF(AE50=3,"xx小x 强·连3期","xx小x ✅强用")),"xx小x △弱参考")))</f>
        <v/>
      </c>
      <c r="AH50" s="3" t="n"/>
      <c r="AI50" s="27">
        <f>IF(D50="","",VALUE(MID(TEXT(D50,"0000"),4,1)))</f>
        <v/>
      </c>
      <c r="AJ50" s="27">
        <f>IF(E50="","",VALUE(MID(TEXT(E50,"0000"),4,1)))</f>
        <v/>
      </c>
      <c r="AK50" s="27">
        <f>IF(F50="","",VALUE(MID(TEXT(F50,"0000"),4,1)))</f>
        <v/>
      </c>
      <c r="AL50" s="31">
        <f>IF(D50="","",IF(COUNTIF(AI50:AK50,"&gt;=5")=3,"🔴 全大",IF(COUNTIF(AI50:AK50,"&gt;=5")=0,"🔵 全小",IF(COUNTIF(AI50:AK50,"&gt;=5")=2,"▲ 偏大","▼ 偏小"))))</f>
        <v/>
      </c>
      <c r="AM50" s="31">
        <f>IF(D50="","",IF((MOD(AI50,2)=1)+(MOD(AJ50,2)=1)+(MOD(AK50,2)=1)=3,"⚫ 全单",IF((MOD(AI50,2)=1)+(MOD(AJ50,2)=1)+(MOD(AK50,2)=1)=0,"🟣 全双",IF((MOD(AI50,2)=1)+(MOD(AJ50,2)=1)+(MOD(AK50,2)=1)=2,"◑ 偏单","◑ 偏双"))))</f>
        <v/>
      </c>
      <c r="AN50" s="35">
        <f>IF(D50="","",IF(D49="",1,IF(ISNUMBER(SEARCH("大",AL50))=ISNUMBER(SEARCH("大",AL49)),AN49+1,1)))</f>
        <v/>
      </c>
      <c r="AO50" s="31">
        <f>IF(AN50="","",IF(AN50&gt;=4,"🚨 "&amp;AN50&amp;"期·警惕反转",IF(AN50=3,"⚠️ 3期连续","—")))</f>
        <v/>
      </c>
      <c r="AP50" s="22">
        <f>IF(AL50="","—",IF(ISNUMBER(SEARCH("大",AL50)),IF(OR(AL50="🔴 全大"),IF(AN50&gt;=4,"xxx大 强·⚠️反转?",IF(AN50=3,"xxx大 强·连3期","xxx大 ✅强用")),"xxx大 △弱参考"),IF(OR(AL50="🔵 全小"),IF(AN50&gt;=4,"xxx小 强·⚠️反转?",IF(AN50=3,"xxx小 强·连3期","xxx小 ✅强用")),"xxx小 △弱参考")))</f>
        <v/>
      </c>
      <c r="AQ50" s="3" t="n"/>
      <c r="AR50" s="31">
        <f>IF(OR(D50="",D49=""),"—",IF(K49="","—",IF(ISNUMBER(SEARCH("大",K49)),IF(COUNTIF(H50:J50,"&gt;=5")&gt;=2,"✅","❌"),IF(COUNTIF(H50:J50,"&gt;=5")&lt;=1,"✅","❌"))))</f>
        <v/>
      </c>
      <c r="AS50" s="31">
        <f>IF(OR(D50="",D49=""),"—",IF(T49="","—",IF(ISNUMBER(SEARCH("大",T49)),IF(COUNTIF(Q50:S50,"&gt;=5")&gt;=2,"✅","❌"),IF(COUNTIF(Q50:S50,"&gt;=5")&lt;=1,"✅","❌"))))</f>
        <v/>
      </c>
      <c r="AT50" s="31">
        <f>IF(OR(D50="",D49=""),"—",IF(AC49="","—",IF(ISNUMBER(SEARCH("大",AC49)),IF(COUNTIF(Z50:AB50,"&gt;=5")&gt;=2,"✅","❌"),IF(COUNTIF(Z50:AB50,"&gt;=5")&lt;=1,"✅","❌"))))</f>
        <v/>
      </c>
      <c r="AU50" s="31">
        <f>IF(OR(D50="",D49=""),"—",IF(AL49="","—",IF(ISNUMBER(SEARCH("大",AL49)),IF(COUNTIF(AI50:AK50,"&gt;=5")&gt;=2,"✅","❌"),IF(COUNTIF(AI50:AK50,"&gt;=5")&lt;=1,"✅","❌"))))</f>
        <v/>
      </c>
      <c r="AW50" s="36" t="n"/>
    </row>
    <row r="51" ht="18" customHeight="1">
      <c r="A51" s="16" t="n">
        <v>47</v>
      </c>
      <c r="B51" s="114" t="n"/>
      <c r="C51" s="18" t="n"/>
      <c r="D51" s="115" t="n"/>
      <c r="E51" s="115" t="n"/>
      <c r="F51" s="115" t="n"/>
      <c r="G51" s="3" t="n"/>
      <c r="H51" s="19">
        <f>IF(D51="","",VALUE(MID(TEXT(D51,"0000"),1,1)))</f>
        <v/>
      </c>
      <c r="I51" s="19">
        <f>IF(E51="","",VALUE(MID(TEXT(E51,"0000"),1,1)))</f>
        <v/>
      </c>
      <c r="J51" s="19">
        <f>IF(F51="","",VALUE(MID(TEXT(F51,"0000"),1,1)))</f>
        <v/>
      </c>
      <c r="K51" s="20">
        <f>IF(D51="","",IF(COUNTIF(H51:J51,"&gt;=5")=3,"🔴 全大",IF(COUNTIF(H51:J51,"&gt;=5")=0,"🔵 全小",IF(COUNTIF(H51:J51,"&gt;=5")=2,"▲ 偏大","▼ 偏小"))))</f>
        <v/>
      </c>
      <c r="L51" s="20">
        <f>IF(D51="","",IF((MOD(H51,2)=1)+(MOD(I51,2)=1)+(MOD(J51,2)=1)=3,"⚫ 全单",IF((MOD(H51,2)=1)+(MOD(I51,2)=1)+(MOD(J51,2)=1)=0,"🟣 全双",IF((MOD(H51,2)=1)+(MOD(I51,2)=1)+(MOD(J51,2)=1)=2,"◑ 偏单","◑ 偏双"))))</f>
        <v/>
      </c>
      <c r="M51" s="21">
        <f>IF(D51="","",IF(D50="",1,IF(ISNUMBER(SEARCH("大",K51))=ISNUMBER(SEARCH("大",K50)),M50+1,1)))</f>
        <v/>
      </c>
      <c r="N51" s="20">
        <f>IF(M51="","",IF(M51&gt;=4,"🚨 "&amp;M51&amp;"期·警惕反转",IF(M51=3,"⚠️ 3期连续","—")))</f>
        <v/>
      </c>
      <c r="O51" s="22">
        <f>IF(K51="","—",IF(ISNUMBER(SEARCH("大",K51)),IF(OR(K51="🔴 全大"),IF(M51&gt;=4,"大xxx 强·⚠️反转?",IF(M51=3,"大xxx 强·连3期","大xxx ✅强用")),"大xxx △弱参考"),IF(OR(K51="🔵 全小"),IF(M51&gt;=4,"小xxx 强·⚠️反转?",IF(M51=3,"小xxx 强·连3期","小xxx ✅强用")),"小xxx △弱参考")))</f>
        <v/>
      </c>
      <c r="P51" s="3" t="n"/>
      <c r="Q51" s="23">
        <f>IF(D51="","",VALUE(MID(TEXT(D51,"0000"),2,1)))</f>
        <v/>
      </c>
      <c r="R51" s="23">
        <f>IF(E51="","",VALUE(MID(TEXT(E51,"0000"),2,1)))</f>
        <v/>
      </c>
      <c r="S51" s="23">
        <f>IF(F51="","",VALUE(MID(TEXT(F51,"0000"),2,1)))</f>
        <v/>
      </c>
      <c r="T51" s="20">
        <f>IF(D51="","",IF(COUNTIF(Q51:S51,"&gt;=5")=3,"🔴 全大",IF(COUNTIF(Q51:S51,"&gt;=5")=0,"🔵 全小",IF(COUNTIF(Q51:S51,"&gt;=5")=2,"▲ 偏大","▼ 偏小"))))</f>
        <v/>
      </c>
      <c r="U51" s="20">
        <f>IF(D51="","",IF((MOD(Q51,2)=1)+(MOD(R51,2)=1)+(MOD(S51,2)=1)=3,"⚫ 全单",IF((MOD(Q51,2)=1)+(MOD(R51,2)=1)+(MOD(S51,2)=1)=0,"🟣 全双",IF((MOD(Q51,2)=1)+(MOD(R51,2)=1)+(MOD(S51,2)=1)=2,"◑ 偏单","◑ 偏双"))))</f>
        <v/>
      </c>
      <c r="V51" s="24">
        <f>IF(D51="","",IF(D50="",1,IF(ISNUMBER(SEARCH("大",T51))=ISNUMBER(SEARCH("大",T50)),V50+1,1)))</f>
        <v/>
      </c>
      <c r="W51" s="20">
        <f>IF(V51="","",IF(V51&gt;=4,"🚨 "&amp;V51&amp;"期·警惕反转",IF(V51=3,"⚠️ 3期连续","—")))</f>
        <v/>
      </c>
      <c r="X51" s="22">
        <f>IF(T51="","—",IF(ISNUMBER(SEARCH("大",T51)),IF(OR(T51="🔴 全大"),IF(V51&gt;=4,"x大xx 强·⚠️反转?",IF(V51=3,"x大xx 强·连3期","x大xx ✅强用")),"x大xx △弱参考"),IF(OR(T51="🔵 全小"),IF(V51&gt;=4,"x小xx 强·⚠️反转?",IF(V51=3,"x小xx 强·连3期","x小xx ✅强用")),"x小xx △弱参考")))</f>
        <v/>
      </c>
      <c r="Y51" s="3" t="n"/>
      <c r="Z51" s="25">
        <f>IF(D51="","",VALUE(MID(TEXT(D51,"0000"),3,1)))</f>
        <v/>
      </c>
      <c r="AA51" s="25">
        <f>IF(E51="","",VALUE(MID(TEXT(E51,"0000"),3,1)))</f>
        <v/>
      </c>
      <c r="AB51" s="25">
        <f>IF(F51="","",VALUE(MID(TEXT(F51,"0000"),3,1)))</f>
        <v/>
      </c>
      <c r="AC51" s="20">
        <f>IF(D51="","",IF(COUNTIF(Z51:AB51,"&gt;=5")=3,"🔴 全大",IF(COUNTIF(Z51:AB51,"&gt;=5")=0,"🔵 全小",IF(COUNTIF(Z51:AB51,"&gt;=5")=2,"▲ 偏大","▼ 偏小"))))</f>
        <v/>
      </c>
      <c r="AD51" s="20">
        <f>IF(D51="","",IF((MOD(Z51,2)=1)+(MOD(AA51,2)=1)+(MOD(AB51,2)=1)=3,"⚫ 全单",IF((MOD(Z51,2)=1)+(MOD(AA51,2)=1)+(MOD(AB51,2)=1)=0,"🟣 全双",IF((MOD(Z51,2)=1)+(MOD(AA51,2)=1)+(MOD(AB51,2)=1)=2,"◑ 偏单","◑ 偏双"))))</f>
        <v/>
      </c>
      <c r="AE51" s="26">
        <f>IF(D51="","",IF(D50="",1,IF(ISNUMBER(SEARCH("大",AC51))=ISNUMBER(SEARCH("大",AC50)),AE50+1,1)))</f>
        <v/>
      </c>
      <c r="AF51" s="20">
        <f>IF(AE51="","",IF(AE51&gt;=4,"🚨 "&amp;AE51&amp;"期·警惕反转",IF(AE51=3,"⚠️ 3期连续","—")))</f>
        <v/>
      </c>
      <c r="AG51" s="22">
        <f>IF(AC51="","—",IF(ISNUMBER(SEARCH("大",AC51)),IF(OR(AC51="🔴 全大"),IF(AE51&gt;=4,"xx大x 强·⚠️反转?",IF(AE51=3,"xx大x 强·连3期","xx大x ✅强用")),"xx大x △弱参考"),IF(OR(AC51="🔵 全小"),IF(AE51&gt;=4,"xx小x 强·⚠️反转?",IF(AE51=3,"xx小x 强·连3期","xx小x ✅强用")),"xx小x △弱参考")))</f>
        <v/>
      </c>
      <c r="AH51" s="3" t="n"/>
      <c r="AI51" s="27">
        <f>IF(D51="","",VALUE(MID(TEXT(D51,"0000"),4,1)))</f>
        <v/>
      </c>
      <c r="AJ51" s="27">
        <f>IF(E51="","",VALUE(MID(TEXT(E51,"0000"),4,1)))</f>
        <v/>
      </c>
      <c r="AK51" s="27">
        <f>IF(F51="","",VALUE(MID(TEXT(F51,"0000"),4,1)))</f>
        <v/>
      </c>
      <c r="AL51" s="20">
        <f>IF(D51="","",IF(COUNTIF(AI51:AK51,"&gt;=5")=3,"🔴 全大",IF(COUNTIF(AI51:AK51,"&gt;=5")=0,"🔵 全小",IF(COUNTIF(AI51:AK51,"&gt;=5")=2,"▲ 偏大","▼ 偏小"))))</f>
        <v/>
      </c>
      <c r="AM51" s="20">
        <f>IF(D51="","",IF((MOD(AI51,2)=1)+(MOD(AJ51,2)=1)+(MOD(AK51,2)=1)=3,"⚫ 全单",IF((MOD(AI51,2)=1)+(MOD(AJ51,2)=1)+(MOD(AK51,2)=1)=0,"🟣 全双",IF((MOD(AI51,2)=1)+(MOD(AJ51,2)=1)+(MOD(AK51,2)=1)=2,"◑ 偏单","◑ 偏双"))))</f>
        <v/>
      </c>
      <c r="AN51" s="28">
        <f>IF(D51="","",IF(D50="",1,IF(ISNUMBER(SEARCH("大",AL51))=ISNUMBER(SEARCH("大",AL50)),AN50+1,1)))</f>
        <v/>
      </c>
      <c r="AO51" s="20">
        <f>IF(AN51="","",IF(AN51&gt;=4,"🚨 "&amp;AN51&amp;"期·警惕反转",IF(AN51=3,"⚠️ 3期连续","—")))</f>
        <v/>
      </c>
      <c r="AP51" s="22">
        <f>IF(AL51="","—",IF(ISNUMBER(SEARCH("大",AL51)),IF(OR(AL51="🔴 全大"),IF(AN51&gt;=4,"xxx大 强·⚠️反转?",IF(AN51=3,"xxx大 强·连3期","xxx大 ✅强用")),"xxx大 △弱参考"),IF(OR(AL51="🔵 全小"),IF(AN51&gt;=4,"xxx小 强·⚠️反转?",IF(AN51=3,"xxx小 强·连3期","xxx小 ✅强用")),"xxx小 △弱参考")))</f>
        <v/>
      </c>
      <c r="AQ51" s="3" t="n"/>
      <c r="AR51" s="20">
        <f>IF(OR(D51="",D50=""),"—",IF(K50="","—",IF(ISNUMBER(SEARCH("大",K50)),IF(COUNTIF(H51:J51,"&gt;=5")&gt;=2,"✅","❌"),IF(COUNTIF(H51:J51,"&gt;=5")&lt;=1,"✅","❌"))))</f>
        <v/>
      </c>
      <c r="AS51" s="20">
        <f>IF(OR(D51="",D50=""),"—",IF(T50="","—",IF(ISNUMBER(SEARCH("大",T50)),IF(COUNTIF(Q51:S51,"&gt;=5")&gt;=2,"✅","❌"),IF(COUNTIF(Q51:S51,"&gt;=5")&lt;=1,"✅","❌"))))</f>
        <v/>
      </c>
      <c r="AT51" s="20">
        <f>IF(OR(D51="",D50=""),"—",IF(AC50="","—",IF(ISNUMBER(SEARCH("大",AC50)),IF(COUNTIF(Z51:AB51,"&gt;=5")&gt;=2,"✅","❌"),IF(COUNTIF(Z51:AB51,"&gt;=5")&lt;=1,"✅","❌"))))</f>
        <v/>
      </c>
      <c r="AU51" s="20">
        <f>IF(OR(D51="",D50=""),"—",IF(AL50="","—",IF(ISNUMBER(SEARCH("大",AL50)),IF(COUNTIF(AI51:AK51,"&gt;=5")&gt;=2,"✅","❌"),IF(COUNTIF(AI51:AK51,"&gt;=5")&lt;=1,"✅","❌"))))</f>
        <v/>
      </c>
      <c r="AW51" s="30" t="n"/>
    </row>
    <row r="52" ht="18" customHeight="1">
      <c r="A52" s="16" t="n">
        <v>48</v>
      </c>
      <c r="B52" s="116" t="n"/>
      <c r="C52" s="40" t="n"/>
      <c r="D52" s="117" t="n"/>
      <c r="E52" s="117" t="n"/>
      <c r="F52" s="117" t="n"/>
      <c r="G52" s="3" t="n"/>
      <c r="H52" s="19">
        <f>IF(D52="","",VALUE(MID(TEXT(D52,"0000"),1,1)))</f>
        <v/>
      </c>
      <c r="I52" s="19">
        <f>IF(E52="","",VALUE(MID(TEXT(E52,"0000"),1,1)))</f>
        <v/>
      </c>
      <c r="J52" s="19">
        <f>IF(F52="","",VALUE(MID(TEXT(F52,"0000"),1,1)))</f>
        <v/>
      </c>
      <c r="K52" s="31">
        <f>IF(D52="","",IF(COUNTIF(H52:J52,"&gt;=5")=3,"🔴 全大",IF(COUNTIF(H52:J52,"&gt;=5")=0,"🔵 全小",IF(COUNTIF(H52:J52,"&gt;=5")=2,"▲ 偏大","▼ 偏小"))))</f>
        <v/>
      </c>
      <c r="L52" s="31">
        <f>IF(D52="","",IF((MOD(H52,2)=1)+(MOD(I52,2)=1)+(MOD(J52,2)=1)=3,"⚫ 全单",IF((MOD(H52,2)=1)+(MOD(I52,2)=1)+(MOD(J52,2)=1)=0,"🟣 全双",IF((MOD(H52,2)=1)+(MOD(I52,2)=1)+(MOD(J52,2)=1)=2,"◑ 偏单","◑ 偏双"))))</f>
        <v/>
      </c>
      <c r="M52" s="32">
        <f>IF(D52="","",IF(D51="",1,IF(ISNUMBER(SEARCH("大",K52))=ISNUMBER(SEARCH("大",K51)),M51+1,1)))</f>
        <v/>
      </c>
      <c r="N52" s="31">
        <f>IF(M52="","",IF(M52&gt;=4,"🚨 "&amp;M52&amp;"期·警惕反转",IF(M52=3,"⚠️ 3期连续","—")))</f>
        <v/>
      </c>
      <c r="O52" s="22">
        <f>IF(K52="","—",IF(ISNUMBER(SEARCH("大",K52)),IF(OR(K52="🔴 全大"),IF(M52&gt;=4,"大xxx 强·⚠️反转?",IF(M52=3,"大xxx 强·连3期","大xxx ✅强用")),"大xxx △弱参考"),IF(OR(K52="🔵 全小"),IF(M52&gt;=4,"小xxx 强·⚠️反转?",IF(M52=3,"小xxx 强·连3期","小xxx ✅强用")),"小xxx △弱参考")))</f>
        <v/>
      </c>
      <c r="P52" s="3" t="n"/>
      <c r="Q52" s="23">
        <f>IF(D52="","",VALUE(MID(TEXT(D52,"0000"),2,1)))</f>
        <v/>
      </c>
      <c r="R52" s="23">
        <f>IF(E52="","",VALUE(MID(TEXT(E52,"0000"),2,1)))</f>
        <v/>
      </c>
      <c r="S52" s="23">
        <f>IF(F52="","",VALUE(MID(TEXT(F52,"0000"),2,1)))</f>
        <v/>
      </c>
      <c r="T52" s="31">
        <f>IF(D52="","",IF(COUNTIF(Q52:S52,"&gt;=5")=3,"🔴 全大",IF(COUNTIF(Q52:S52,"&gt;=5")=0,"🔵 全小",IF(COUNTIF(Q52:S52,"&gt;=5")=2,"▲ 偏大","▼ 偏小"))))</f>
        <v/>
      </c>
      <c r="U52" s="31">
        <f>IF(D52="","",IF((MOD(Q52,2)=1)+(MOD(R52,2)=1)+(MOD(S52,2)=1)=3,"⚫ 全单",IF((MOD(Q52,2)=1)+(MOD(R52,2)=1)+(MOD(S52,2)=1)=0,"🟣 全双",IF((MOD(Q52,2)=1)+(MOD(R52,2)=1)+(MOD(S52,2)=1)=2,"◑ 偏单","◑ 偏双"))))</f>
        <v/>
      </c>
      <c r="V52" s="33">
        <f>IF(D52="","",IF(D51="",1,IF(ISNUMBER(SEARCH("大",T52))=ISNUMBER(SEARCH("大",T51)),V51+1,1)))</f>
        <v/>
      </c>
      <c r="W52" s="31">
        <f>IF(V52="","",IF(V52&gt;=4,"🚨 "&amp;V52&amp;"期·警惕反转",IF(V52=3,"⚠️ 3期连续","—")))</f>
        <v/>
      </c>
      <c r="X52" s="22">
        <f>IF(T52="","—",IF(ISNUMBER(SEARCH("大",T52)),IF(OR(T52="🔴 全大"),IF(V52&gt;=4,"x大xx 强·⚠️反转?",IF(V52=3,"x大xx 强·连3期","x大xx ✅强用")),"x大xx △弱参考"),IF(OR(T52="🔵 全小"),IF(V52&gt;=4,"x小xx 强·⚠️反转?",IF(V52=3,"x小xx 强·连3期","x小xx ✅强用")),"x小xx △弱参考")))</f>
        <v/>
      </c>
      <c r="Y52" s="3" t="n"/>
      <c r="Z52" s="25">
        <f>IF(D52="","",VALUE(MID(TEXT(D52,"0000"),3,1)))</f>
        <v/>
      </c>
      <c r="AA52" s="25">
        <f>IF(E52="","",VALUE(MID(TEXT(E52,"0000"),3,1)))</f>
        <v/>
      </c>
      <c r="AB52" s="25">
        <f>IF(F52="","",VALUE(MID(TEXT(F52,"0000"),3,1)))</f>
        <v/>
      </c>
      <c r="AC52" s="31">
        <f>IF(D52="","",IF(COUNTIF(Z52:AB52,"&gt;=5")=3,"🔴 全大",IF(COUNTIF(Z52:AB52,"&gt;=5")=0,"🔵 全小",IF(COUNTIF(Z52:AB52,"&gt;=5")=2,"▲ 偏大","▼ 偏小"))))</f>
        <v/>
      </c>
      <c r="AD52" s="31">
        <f>IF(D52="","",IF((MOD(Z52,2)=1)+(MOD(AA52,2)=1)+(MOD(AB52,2)=1)=3,"⚫ 全单",IF((MOD(Z52,2)=1)+(MOD(AA52,2)=1)+(MOD(AB52,2)=1)=0,"🟣 全双",IF((MOD(Z52,2)=1)+(MOD(AA52,2)=1)+(MOD(AB52,2)=1)=2,"◑ 偏单","◑ 偏双"))))</f>
        <v/>
      </c>
      <c r="AE52" s="34">
        <f>IF(D52="","",IF(D51="",1,IF(ISNUMBER(SEARCH("大",AC52))=ISNUMBER(SEARCH("大",AC51)),AE51+1,1)))</f>
        <v/>
      </c>
      <c r="AF52" s="31">
        <f>IF(AE52="","",IF(AE52&gt;=4,"🚨 "&amp;AE52&amp;"期·警惕反转",IF(AE52=3,"⚠️ 3期连续","—")))</f>
        <v/>
      </c>
      <c r="AG52" s="22">
        <f>IF(AC52="","—",IF(ISNUMBER(SEARCH("大",AC52)),IF(OR(AC52="🔴 全大"),IF(AE52&gt;=4,"xx大x 强·⚠️反转?",IF(AE52=3,"xx大x 强·连3期","xx大x ✅强用")),"xx大x △弱参考"),IF(OR(AC52="🔵 全小"),IF(AE52&gt;=4,"xx小x 强·⚠️反转?",IF(AE52=3,"xx小x 强·连3期","xx小x ✅强用")),"xx小x △弱参考")))</f>
        <v/>
      </c>
      <c r="AH52" s="3" t="n"/>
      <c r="AI52" s="27">
        <f>IF(D52="","",VALUE(MID(TEXT(D52,"0000"),4,1)))</f>
        <v/>
      </c>
      <c r="AJ52" s="27">
        <f>IF(E52="","",VALUE(MID(TEXT(E52,"0000"),4,1)))</f>
        <v/>
      </c>
      <c r="AK52" s="27">
        <f>IF(F52="","",VALUE(MID(TEXT(F52,"0000"),4,1)))</f>
        <v/>
      </c>
      <c r="AL52" s="31">
        <f>IF(D52="","",IF(COUNTIF(AI52:AK52,"&gt;=5")=3,"🔴 全大",IF(COUNTIF(AI52:AK52,"&gt;=5")=0,"🔵 全小",IF(COUNTIF(AI52:AK52,"&gt;=5")=2,"▲ 偏大","▼ 偏小"))))</f>
        <v/>
      </c>
      <c r="AM52" s="31">
        <f>IF(D52="","",IF((MOD(AI52,2)=1)+(MOD(AJ52,2)=1)+(MOD(AK52,2)=1)=3,"⚫ 全单",IF((MOD(AI52,2)=1)+(MOD(AJ52,2)=1)+(MOD(AK52,2)=1)=0,"🟣 全双",IF((MOD(AI52,2)=1)+(MOD(AJ52,2)=1)+(MOD(AK52,2)=1)=2,"◑ 偏单","◑ 偏双"))))</f>
        <v/>
      </c>
      <c r="AN52" s="35">
        <f>IF(D52="","",IF(D51="",1,IF(ISNUMBER(SEARCH("大",AL52))=ISNUMBER(SEARCH("大",AL51)),AN51+1,1)))</f>
        <v/>
      </c>
      <c r="AO52" s="31">
        <f>IF(AN52="","",IF(AN52&gt;=4,"🚨 "&amp;AN52&amp;"期·警惕反转",IF(AN52=3,"⚠️ 3期连续","—")))</f>
        <v/>
      </c>
      <c r="AP52" s="22">
        <f>IF(AL52="","—",IF(ISNUMBER(SEARCH("大",AL52)),IF(OR(AL52="🔴 全大"),IF(AN52&gt;=4,"xxx大 强·⚠️反转?",IF(AN52=3,"xxx大 强·连3期","xxx大 ✅强用")),"xxx大 △弱参考"),IF(OR(AL52="🔵 全小"),IF(AN52&gt;=4,"xxx小 强·⚠️反转?",IF(AN52=3,"xxx小 强·连3期","xxx小 ✅强用")),"xxx小 △弱参考")))</f>
        <v/>
      </c>
      <c r="AQ52" s="3" t="n"/>
      <c r="AR52" s="31">
        <f>IF(OR(D52="",D51=""),"—",IF(K51="","—",IF(ISNUMBER(SEARCH("大",K51)),IF(COUNTIF(H52:J52,"&gt;=5")&gt;=2,"✅","❌"),IF(COUNTIF(H52:J52,"&gt;=5")&lt;=1,"✅","❌"))))</f>
        <v/>
      </c>
      <c r="AS52" s="31">
        <f>IF(OR(D52="",D51=""),"—",IF(T51="","—",IF(ISNUMBER(SEARCH("大",T51)),IF(COUNTIF(Q52:S52,"&gt;=5")&gt;=2,"✅","❌"),IF(COUNTIF(Q52:S52,"&gt;=5")&lt;=1,"✅","❌"))))</f>
        <v/>
      </c>
      <c r="AT52" s="31">
        <f>IF(OR(D52="",D51=""),"—",IF(AC51="","—",IF(ISNUMBER(SEARCH("大",AC51)),IF(COUNTIF(Z52:AB52,"&gt;=5")&gt;=2,"✅","❌"),IF(COUNTIF(Z52:AB52,"&gt;=5")&lt;=1,"✅","❌"))))</f>
        <v/>
      </c>
      <c r="AU52" s="31">
        <f>IF(OR(D52="",D51=""),"—",IF(AL51="","—",IF(ISNUMBER(SEARCH("大",AL51)),IF(COUNTIF(AI52:AK52,"&gt;=5")&gt;=2,"✅","❌"),IF(COUNTIF(AI52:AK52,"&gt;=5")&lt;=1,"✅","❌"))))</f>
        <v/>
      </c>
      <c r="AW52" s="36" t="n"/>
    </row>
    <row r="53" ht="18" customHeight="1">
      <c r="A53" s="16" t="n">
        <v>49</v>
      </c>
      <c r="B53" s="114" t="n"/>
      <c r="C53" s="18" t="n"/>
      <c r="D53" s="115" t="n"/>
      <c r="E53" s="115" t="n"/>
      <c r="F53" s="115" t="n"/>
      <c r="G53" s="3" t="n"/>
      <c r="H53" s="19">
        <f>IF(D53="","",VALUE(MID(TEXT(D53,"0000"),1,1)))</f>
        <v/>
      </c>
      <c r="I53" s="19">
        <f>IF(E53="","",VALUE(MID(TEXT(E53,"0000"),1,1)))</f>
        <v/>
      </c>
      <c r="J53" s="19">
        <f>IF(F53="","",VALUE(MID(TEXT(F53,"0000"),1,1)))</f>
        <v/>
      </c>
      <c r="K53" s="20">
        <f>IF(D53="","",IF(COUNTIF(H53:J53,"&gt;=5")=3,"🔴 全大",IF(COUNTIF(H53:J53,"&gt;=5")=0,"🔵 全小",IF(COUNTIF(H53:J53,"&gt;=5")=2,"▲ 偏大","▼ 偏小"))))</f>
        <v/>
      </c>
      <c r="L53" s="20">
        <f>IF(D53="","",IF((MOD(H53,2)=1)+(MOD(I53,2)=1)+(MOD(J53,2)=1)=3,"⚫ 全单",IF((MOD(H53,2)=1)+(MOD(I53,2)=1)+(MOD(J53,2)=1)=0,"🟣 全双",IF((MOD(H53,2)=1)+(MOD(I53,2)=1)+(MOD(J53,2)=1)=2,"◑ 偏单","◑ 偏双"))))</f>
        <v/>
      </c>
      <c r="M53" s="21">
        <f>IF(D53="","",IF(D52="",1,IF(ISNUMBER(SEARCH("大",K53))=ISNUMBER(SEARCH("大",K52)),M52+1,1)))</f>
        <v/>
      </c>
      <c r="N53" s="20">
        <f>IF(M53="","",IF(M53&gt;=4,"🚨 "&amp;M53&amp;"期·警惕反转",IF(M53=3,"⚠️ 3期连续","—")))</f>
        <v/>
      </c>
      <c r="O53" s="22">
        <f>IF(K53="","—",IF(ISNUMBER(SEARCH("大",K53)),IF(OR(K53="🔴 全大"),IF(M53&gt;=4,"大xxx 强·⚠️反转?",IF(M53=3,"大xxx 强·连3期","大xxx ✅强用")),"大xxx △弱参考"),IF(OR(K53="🔵 全小"),IF(M53&gt;=4,"小xxx 强·⚠️反转?",IF(M53=3,"小xxx 强·连3期","小xxx ✅强用")),"小xxx △弱参考")))</f>
        <v/>
      </c>
      <c r="P53" s="3" t="n"/>
      <c r="Q53" s="23">
        <f>IF(D53="","",VALUE(MID(TEXT(D53,"0000"),2,1)))</f>
        <v/>
      </c>
      <c r="R53" s="23">
        <f>IF(E53="","",VALUE(MID(TEXT(E53,"0000"),2,1)))</f>
        <v/>
      </c>
      <c r="S53" s="23">
        <f>IF(F53="","",VALUE(MID(TEXT(F53,"0000"),2,1)))</f>
        <v/>
      </c>
      <c r="T53" s="20">
        <f>IF(D53="","",IF(COUNTIF(Q53:S53,"&gt;=5")=3,"🔴 全大",IF(COUNTIF(Q53:S53,"&gt;=5")=0,"🔵 全小",IF(COUNTIF(Q53:S53,"&gt;=5")=2,"▲ 偏大","▼ 偏小"))))</f>
        <v/>
      </c>
      <c r="U53" s="20">
        <f>IF(D53="","",IF((MOD(Q53,2)=1)+(MOD(R53,2)=1)+(MOD(S53,2)=1)=3,"⚫ 全单",IF((MOD(Q53,2)=1)+(MOD(R53,2)=1)+(MOD(S53,2)=1)=0,"🟣 全双",IF((MOD(Q53,2)=1)+(MOD(R53,2)=1)+(MOD(S53,2)=1)=2,"◑ 偏单","◑ 偏双"))))</f>
        <v/>
      </c>
      <c r="V53" s="24">
        <f>IF(D53="","",IF(D52="",1,IF(ISNUMBER(SEARCH("大",T53))=ISNUMBER(SEARCH("大",T52)),V52+1,1)))</f>
        <v/>
      </c>
      <c r="W53" s="20">
        <f>IF(V53="","",IF(V53&gt;=4,"🚨 "&amp;V53&amp;"期·警惕反转",IF(V53=3,"⚠️ 3期连续","—")))</f>
        <v/>
      </c>
      <c r="X53" s="22">
        <f>IF(T53="","—",IF(ISNUMBER(SEARCH("大",T53)),IF(OR(T53="🔴 全大"),IF(V53&gt;=4,"x大xx 强·⚠️反转?",IF(V53=3,"x大xx 强·连3期","x大xx ✅强用")),"x大xx △弱参考"),IF(OR(T53="🔵 全小"),IF(V53&gt;=4,"x小xx 强·⚠️反转?",IF(V53=3,"x小xx 强·连3期","x小xx ✅强用")),"x小xx △弱参考")))</f>
        <v/>
      </c>
      <c r="Y53" s="3" t="n"/>
      <c r="Z53" s="25">
        <f>IF(D53="","",VALUE(MID(TEXT(D53,"0000"),3,1)))</f>
        <v/>
      </c>
      <c r="AA53" s="25">
        <f>IF(E53="","",VALUE(MID(TEXT(E53,"0000"),3,1)))</f>
        <v/>
      </c>
      <c r="AB53" s="25">
        <f>IF(F53="","",VALUE(MID(TEXT(F53,"0000"),3,1)))</f>
        <v/>
      </c>
      <c r="AC53" s="20">
        <f>IF(D53="","",IF(COUNTIF(Z53:AB53,"&gt;=5")=3,"🔴 全大",IF(COUNTIF(Z53:AB53,"&gt;=5")=0,"🔵 全小",IF(COUNTIF(Z53:AB53,"&gt;=5")=2,"▲ 偏大","▼ 偏小"))))</f>
        <v/>
      </c>
      <c r="AD53" s="20">
        <f>IF(D53="","",IF((MOD(Z53,2)=1)+(MOD(AA53,2)=1)+(MOD(AB53,2)=1)=3,"⚫ 全单",IF((MOD(Z53,2)=1)+(MOD(AA53,2)=1)+(MOD(AB53,2)=1)=0,"🟣 全双",IF((MOD(Z53,2)=1)+(MOD(AA53,2)=1)+(MOD(AB53,2)=1)=2,"◑ 偏单","◑ 偏双"))))</f>
        <v/>
      </c>
      <c r="AE53" s="26">
        <f>IF(D53="","",IF(D52="",1,IF(ISNUMBER(SEARCH("大",AC53))=ISNUMBER(SEARCH("大",AC52)),AE52+1,1)))</f>
        <v/>
      </c>
      <c r="AF53" s="20">
        <f>IF(AE53="","",IF(AE53&gt;=4,"🚨 "&amp;AE53&amp;"期·警惕反转",IF(AE53=3,"⚠️ 3期连续","—")))</f>
        <v/>
      </c>
      <c r="AG53" s="22">
        <f>IF(AC53="","—",IF(ISNUMBER(SEARCH("大",AC53)),IF(OR(AC53="🔴 全大"),IF(AE53&gt;=4,"xx大x 强·⚠️反转?",IF(AE53=3,"xx大x 强·连3期","xx大x ✅强用")),"xx大x △弱参考"),IF(OR(AC53="🔵 全小"),IF(AE53&gt;=4,"xx小x 强·⚠️反转?",IF(AE53=3,"xx小x 强·连3期","xx小x ✅强用")),"xx小x △弱参考")))</f>
        <v/>
      </c>
      <c r="AH53" s="3" t="n"/>
      <c r="AI53" s="27">
        <f>IF(D53="","",VALUE(MID(TEXT(D53,"0000"),4,1)))</f>
        <v/>
      </c>
      <c r="AJ53" s="27">
        <f>IF(E53="","",VALUE(MID(TEXT(E53,"0000"),4,1)))</f>
        <v/>
      </c>
      <c r="AK53" s="27">
        <f>IF(F53="","",VALUE(MID(TEXT(F53,"0000"),4,1)))</f>
        <v/>
      </c>
      <c r="AL53" s="20">
        <f>IF(D53="","",IF(COUNTIF(AI53:AK53,"&gt;=5")=3,"🔴 全大",IF(COUNTIF(AI53:AK53,"&gt;=5")=0,"🔵 全小",IF(COUNTIF(AI53:AK53,"&gt;=5")=2,"▲ 偏大","▼ 偏小"))))</f>
        <v/>
      </c>
      <c r="AM53" s="20">
        <f>IF(D53="","",IF((MOD(AI53,2)=1)+(MOD(AJ53,2)=1)+(MOD(AK53,2)=1)=3,"⚫ 全单",IF((MOD(AI53,2)=1)+(MOD(AJ53,2)=1)+(MOD(AK53,2)=1)=0,"🟣 全双",IF((MOD(AI53,2)=1)+(MOD(AJ53,2)=1)+(MOD(AK53,2)=1)=2,"◑ 偏单","◑ 偏双"))))</f>
        <v/>
      </c>
      <c r="AN53" s="28">
        <f>IF(D53="","",IF(D52="",1,IF(ISNUMBER(SEARCH("大",AL53))=ISNUMBER(SEARCH("大",AL52)),AN52+1,1)))</f>
        <v/>
      </c>
      <c r="AO53" s="20">
        <f>IF(AN53="","",IF(AN53&gt;=4,"🚨 "&amp;AN53&amp;"期·警惕反转",IF(AN53=3,"⚠️ 3期连续","—")))</f>
        <v/>
      </c>
      <c r="AP53" s="22">
        <f>IF(AL53="","—",IF(ISNUMBER(SEARCH("大",AL53)),IF(OR(AL53="🔴 全大"),IF(AN53&gt;=4,"xxx大 强·⚠️反转?",IF(AN53=3,"xxx大 强·连3期","xxx大 ✅强用")),"xxx大 △弱参考"),IF(OR(AL53="🔵 全小"),IF(AN53&gt;=4,"xxx小 强·⚠️反转?",IF(AN53=3,"xxx小 强·连3期","xxx小 ✅强用")),"xxx小 △弱参考")))</f>
        <v/>
      </c>
      <c r="AQ53" s="3" t="n"/>
      <c r="AR53" s="20">
        <f>IF(OR(D53="",D52=""),"—",IF(K52="","—",IF(ISNUMBER(SEARCH("大",K52)),IF(COUNTIF(H53:J53,"&gt;=5")&gt;=2,"✅","❌"),IF(COUNTIF(H53:J53,"&gt;=5")&lt;=1,"✅","❌"))))</f>
        <v/>
      </c>
      <c r="AS53" s="20">
        <f>IF(OR(D53="",D52=""),"—",IF(T52="","—",IF(ISNUMBER(SEARCH("大",T52)),IF(COUNTIF(Q53:S53,"&gt;=5")&gt;=2,"✅","❌"),IF(COUNTIF(Q53:S53,"&gt;=5")&lt;=1,"✅","❌"))))</f>
        <v/>
      </c>
      <c r="AT53" s="20">
        <f>IF(OR(D53="",D52=""),"—",IF(AC52="","—",IF(ISNUMBER(SEARCH("大",AC52)),IF(COUNTIF(Z53:AB53,"&gt;=5")&gt;=2,"✅","❌"),IF(COUNTIF(Z53:AB53,"&gt;=5")&lt;=1,"✅","❌"))))</f>
        <v/>
      </c>
      <c r="AU53" s="20">
        <f>IF(OR(D53="",D52=""),"—",IF(AL52="","—",IF(ISNUMBER(SEARCH("大",AL52)),IF(COUNTIF(AI53:AK53,"&gt;=5")&gt;=2,"✅","❌"),IF(COUNTIF(AI53:AK53,"&gt;=5")&lt;=1,"✅","❌"))))</f>
        <v/>
      </c>
      <c r="AW53" s="30" t="n"/>
    </row>
    <row r="54" ht="18" customHeight="1">
      <c r="A54" s="16" t="n">
        <v>50</v>
      </c>
      <c r="B54" s="116" t="n"/>
      <c r="C54" s="40" t="n"/>
      <c r="D54" s="117" t="n"/>
      <c r="E54" s="117" t="n"/>
      <c r="F54" s="117" t="n"/>
      <c r="G54" s="3" t="n"/>
      <c r="H54" s="19">
        <f>IF(D54="","",VALUE(MID(TEXT(D54,"0000"),1,1)))</f>
        <v/>
      </c>
      <c r="I54" s="19">
        <f>IF(E54="","",VALUE(MID(TEXT(E54,"0000"),1,1)))</f>
        <v/>
      </c>
      <c r="J54" s="19">
        <f>IF(F54="","",VALUE(MID(TEXT(F54,"0000"),1,1)))</f>
        <v/>
      </c>
      <c r="K54" s="31">
        <f>IF(D54="","",IF(COUNTIF(H54:J54,"&gt;=5")=3,"🔴 全大",IF(COUNTIF(H54:J54,"&gt;=5")=0,"🔵 全小",IF(COUNTIF(H54:J54,"&gt;=5")=2,"▲ 偏大","▼ 偏小"))))</f>
        <v/>
      </c>
      <c r="L54" s="31">
        <f>IF(D54="","",IF((MOD(H54,2)=1)+(MOD(I54,2)=1)+(MOD(J54,2)=1)=3,"⚫ 全单",IF((MOD(H54,2)=1)+(MOD(I54,2)=1)+(MOD(J54,2)=1)=0,"🟣 全双",IF((MOD(H54,2)=1)+(MOD(I54,2)=1)+(MOD(J54,2)=1)=2,"◑ 偏单","◑ 偏双"))))</f>
        <v/>
      </c>
      <c r="M54" s="32">
        <f>IF(D54="","",IF(D53="",1,IF(ISNUMBER(SEARCH("大",K54))=ISNUMBER(SEARCH("大",K53)),M53+1,1)))</f>
        <v/>
      </c>
      <c r="N54" s="31">
        <f>IF(M54="","",IF(M54&gt;=4,"🚨 "&amp;M54&amp;"期·警惕反转",IF(M54=3,"⚠️ 3期连续","—")))</f>
        <v/>
      </c>
      <c r="O54" s="22">
        <f>IF(K54="","—",IF(ISNUMBER(SEARCH("大",K54)),IF(OR(K54="🔴 全大"),IF(M54&gt;=4,"大xxx 强·⚠️反转?",IF(M54=3,"大xxx 强·连3期","大xxx ✅强用")),"大xxx △弱参考"),IF(OR(K54="🔵 全小"),IF(M54&gt;=4,"小xxx 强·⚠️反转?",IF(M54=3,"小xxx 强·连3期","小xxx ✅强用")),"小xxx △弱参考")))</f>
        <v/>
      </c>
      <c r="P54" s="3" t="n"/>
      <c r="Q54" s="23">
        <f>IF(D54="","",VALUE(MID(TEXT(D54,"0000"),2,1)))</f>
        <v/>
      </c>
      <c r="R54" s="23">
        <f>IF(E54="","",VALUE(MID(TEXT(E54,"0000"),2,1)))</f>
        <v/>
      </c>
      <c r="S54" s="23">
        <f>IF(F54="","",VALUE(MID(TEXT(F54,"0000"),2,1)))</f>
        <v/>
      </c>
      <c r="T54" s="31">
        <f>IF(D54="","",IF(COUNTIF(Q54:S54,"&gt;=5")=3,"🔴 全大",IF(COUNTIF(Q54:S54,"&gt;=5")=0,"🔵 全小",IF(COUNTIF(Q54:S54,"&gt;=5")=2,"▲ 偏大","▼ 偏小"))))</f>
        <v/>
      </c>
      <c r="U54" s="31">
        <f>IF(D54="","",IF((MOD(Q54,2)=1)+(MOD(R54,2)=1)+(MOD(S54,2)=1)=3,"⚫ 全单",IF((MOD(Q54,2)=1)+(MOD(R54,2)=1)+(MOD(S54,2)=1)=0,"🟣 全双",IF((MOD(Q54,2)=1)+(MOD(R54,2)=1)+(MOD(S54,2)=1)=2,"◑ 偏单","◑ 偏双"))))</f>
        <v/>
      </c>
      <c r="V54" s="33">
        <f>IF(D54="","",IF(D53="",1,IF(ISNUMBER(SEARCH("大",T54))=ISNUMBER(SEARCH("大",T53)),V53+1,1)))</f>
        <v/>
      </c>
      <c r="W54" s="31">
        <f>IF(V54="","",IF(V54&gt;=4,"🚨 "&amp;V54&amp;"期·警惕反转",IF(V54=3,"⚠️ 3期连续","—")))</f>
        <v/>
      </c>
      <c r="X54" s="22">
        <f>IF(T54="","—",IF(ISNUMBER(SEARCH("大",T54)),IF(OR(T54="🔴 全大"),IF(V54&gt;=4,"x大xx 强·⚠️反转?",IF(V54=3,"x大xx 强·连3期","x大xx ✅强用")),"x大xx △弱参考"),IF(OR(T54="🔵 全小"),IF(V54&gt;=4,"x小xx 强·⚠️反转?",IF(V54=3,"x小xx 强·连3期","x小xx ✅强用")),"x小xx △弱参考")))</f>
        <v/>
      </c>
      <c r="Y54" s="3" t="n"/>
      <c r="Z54" s="25">
        <f>IF(D54="","",VALUE(MID(TEXT(D54,"0000"),3,1)))</f>
        <v/>
      </c>
      <c r="AA54" s="25">
        <f>IF(E54="","",VALUE(MID(TEXT(E54,"0000"),3,1)))</f>
        <v/>
      </c>
      <c r="AB54" s="25">
        <f>IF(F54="","",VALUE(MID(TEXT(F54,"0000"),3,1)))</f>
        <v/>
      </c>
      <c r="AC54" s="31">
        <f>IF(D54="","",IF(COUNTIF(Z54:AB54,"&gt;=5")=3,"🔴 全大",IF(COUNTIF(Z54:AB54,"&gt;=5")=0,"🔵 全小",IF(COUNTIF(Z54:AB54,"&gt;=5")=2,"▲ 偏大","▼ 偏小"))))</f>
        <v/>
      </c>
      <c r="AD54" s="31">
        <f>IF(D54="","",IF((MOD(Z54,2)=1)+(MOD(AA54,2)=1)+(MOD(AB54,2)=1)=3,"⚫ 全单",IF((MOD(Z54,2)=1)+(MOD(AA54,2)=1)+(MOD(AB54,2)=1)=0,"🟣 全双",IF((MOD(Z54,2)=1)+(MOD(AA54,2)=1)+(MOD(AB54,2)=1)=2,"◑ 偏单","◑ 偏双"))))</f>
        <v/>
      </c>
      <c r="AE54" s="34">
        <f>IF(D54="","",IF(D53="",1,IF(ISNUMBER(SEARCH("大",AC54))=ISNUMBER(SEARCH("大",AC53)),AE53+1,1)))</f>
        <v/>
      </c>
      <c r="AF54" s="31">
        <f>IF(AE54="","",IF(AE54&gt;=4,"🚨 "&amp;AE54&amp;"期·警惕反转",IF(AE54=3,"⚠️ 3期连续","—")))</f>
        <v/>
      </c>
      <c r="AG54" s="22">
        <f>IF(AC54="","—",IF(ISNUMBER(SEARCH("大",AC54)),IF(OR(AC54="🔴 全大"),IF(AE54&gt;=4,"xx大x 强·⚠️反转?",IF(AE54=3,"xx大x 强·连3期","xx大x ✅强用")),"xx大x △弱参考"),IF(OR(AC54="🔵 全小"),IF(AE54&gt;=4,"xx小x 强·⚠️反转?",IF(AE54=3,"xx小x 强·连3期","xx小x ✅强用")),"xx小x △弱参考")))</f>
        <v/>
      </c>
      <c r="AH54" s="3" t="n"/>
      <c r="AI54" s="27">
        <f>IF(D54="","",VALUE(MID(TEXT(D54,"0000"),4,1)))</f>
        <v/>
      </c>
      <c r="AJ54" s="27">
        <f>IF(E54="","",VALUE(MID(TEXT(E54,"0000"),4,1)))</f>
        <v/>
      </c>
      <c r="AK54" s="27">
        <f>IF(F54="","",VALUE(MID(TEXT(F54,"0000"),4,1)))</f>
        <v/>
      </c>
      <c r="AL54" s="31">
        <f>IF(D54="","",IF(COUNTIF(AI54:AK54,"&gt;=5")=3,"🔴 全大",IF(COUNTIF(AI54:AK54,"&gt;=5")=0,"🔵 全小",IF(COUNTIF(AI54:AK54,"&gt;=5")=2,"▲ 偏大","▼ 偏小"))))</f>
        <v/>
      </c>
      <c r="AM54" s="31">
        <f>IF(D54="","",IF((MOD(AI54,2)=1)+(MOD(AJ54,2)=1)+(MOD(AK54,2)=1)=3,"⚫ 全单",IF((MOD(AI54,2)=1)+(MOD(AJ54,2)=1)+(MOD(AK54,2)=1)=0,"🟣 全双",IF((MOD(AI54,2)=1)+(MOD(AJ54,2)=1)+(MOD(AK54,2)=1)=2,"◑ 偏单","◑ 偏双"))))</f>
        <v/>
      </c>
      <c r="AN54" s="35">
        <f>IF(D54="","",IF(D53="",1,IF(ISNUMBER(SEARCH("大",AL54))=ISNUMBER(SEARCH("大",AL53)),AN53+1,1)))</f>
        <v/>
      </c>
      <c r="AO54" s="31">
        <f>IF(AN54="","",IF(AN54&gt;=4,"🚨 "&amp;AN54&amp;"期·警惕反转",IF(AN54=3,"⚠️ 3期连续","—")))</f>
        <v/>
      </c>
      <c r="AP54" s="22">
        <f>IF(AL54="","—",IF(ISNUMBER(SEARCH("大",AL54)),IF(OR(AL54="🔴 全大"),IF(AN54&gt;=4,"xxx大 强·⚠️反转?",IF(AN54=3,"xxx大 强·连3期","xxx大 ✅强用")),"xxx大 △弱参考"),IF(OR(AL54="🔵 全小"),IF(AN54&gt;=4,"xxx小 强·⚠️反转?",IF(AN54=3,"xxx小 强·连3期","xxx小 ✅强用")),"xxx小 △弱参考")))</f>
        <v/>
      </c>
      <c r="AQ54" s="3" t="n"/>
      <c r="AR54" s="31">
        <f>IF(OR(D54="",D53=""),"—",IF(K53="","—",IF(ISNUMBER(SEARCH("大",K53)),IF(COUNTIF(H54:J54,"&gt;=5")&gt;=2,"✅","❌"),IF(COUNTIF(H54:J54,"&gt;=5")&lt;=1,"✅","❌"))))</f>
        <v/>
      </c>
      <c r="AS54" s="31">
        <f>IF(OR(D54="",D53=""),"—",IF(T53="","—",IF(ISNUMBER(SEARCH("大",T53)),IF(COUNTIF(Q54:S54,"&gt;=5")&gt;=2,"✅","❌"),IF(COUNTIF(Q54:S54,"&gt;=5")&lt;=1,"✅","❌"))))</f>
        <v/>
      </c>
      <c r="AT54" s="31">
        <f>IF(OR(D54="",D53=""),"—",IF(AC53="","—",IF(ISNUMBER(SEARCH("大",AC53)),IF(COUNTIF(Z54:AB54,"&gt;=5")&gt;=2,"✅","❌"),IF(COUNTIF(Z54:AB54,"&gt;=5")&lt;=1,"✅","❌"))))</f>
        <v/>
      </c>
      <c r="AU54" s="31">
        <f>IF(OR(D54="",D53=""),"—",IF(AL53="","—",IF(ISNUMBER(SEARCH("大",AL53)),IF(COUNTIF(AI54:AK54,"&gt;=5")&gt;=2,"✅","❌"),IF(COUNTIF(AI54:AK54,"&gt;=5")&lt;=1,"✅","❌"))))</f>
        <v/>
      </c>
      <c r="AW54" s="36" t="n"/>
    </row>
    <row r="55" ht="18" customHeight="1">
      <c r="A55" s="16" t="n">
        <v>51</v>
      </c>
      <c r="B55" s="114" t="n"/>
      <c r="C55" s="18" t="n"/>
      <c r="D55" s="115" t="n"/>
      <c r="E55" s="115" t="n"/>
      <c r="F55" s="115" t="n"/>
      <c r="G55" s="3" t="n"/>
      <c r="H55" s="19">
        <f>IF(D55="","",VALUE(MID(TEXT(D55,"0000"),1,1)))</f>
        <v/>
      </c>
      <c r="I55" s="19">
        <f>IF(E55="","",VALUE(MID(TEXT(E55,"0000"),1,1)))</f>
        <v/>
      </c>
      <c r="J55" s="19">
        <f>IF(F55="","",VALUE(MID(TEXT(F55,"0000"),1,1)))</f>
        <v/>
      </c>
      <c r="K55" s="20">
        <f>IF(D55="","",IF(COUNTIF(H55:J55,"&gt;=5")=3,"🔴 全大",IF(COUNTIF(H55:J55,"&gt;=5")=0,"🔵 全小",IF(COUNTIF(H55:J55,"&gt;=5")=2,"▲ 偏大","▼ 偏小"))))</f>
        <v/>
      </c>
      <c r="L55" s="20">
        <f>IF(D55="","",IF((MOD(H55,2)=1)+(MOD(I55,2)=1)+(MOD(J55,2)=1)=3,"⚫ 全单",IF((MOD(H55,2)=1)+(MOD(I55,2)=1)+(MOD(J55,2)=1)=0,"🟣 全双",IF((MOD(H55,2)=1)+(MOD(I55,2)=1)+(MOD(J55,2)=1)=2,"◑ 偏单","◑ 偏双"))))</f>
        <v/>
      </c>
      <c r="M55" s="21">
        <f>IF(D55="","",IF(D54="",1,IF(ISNUMBER(SEARCH("大",K55))=ISNUMBER(SEARCH("大",K54)),M54+1,1)))</f>
        <v/>
      </c>
      <c r="N55" s="20">
        <f>IF(M55="","",IF(M55&gt;=4,"🚨 "&amp;M55&amp;"期·警惕反转",IF(M55=3,"⚠️ 3期连续","—")))</f>
        <v/>
      </c>
      <c r="O55" s="22">
        <f>IF(K55="","—",IF(ISNUMBER(SEARCH("大",K55)),IF(OR(K55="🔴 全大"),IF(M55&gt;=4,"大xxx 强·⚠️反转?",IF(M55=3,"大xxx 强·连3期","大xxx ✅强用")),"大xxx △弱参考"),IF(OR(K55="🔵 全小"),IF(M55&gt;=4,"小xxx 强·⚠️反转?",IF(M55=3,"小xxx 强·连3期","小xxx ✅强用")),"小xxx △弱参考")))</f>
        <v/>
      </c>
      <c r="P55" s="3" t="n"/>
      <c r="Q55" s="23">
        <f>IF(D55="","",VALUE(MID(TEXT(D55,"0000"),2,1)))</f>
        <v/>
      </c>
      <c r="R55" s="23">
        <f>IF(E55="","",VALUE(MID(TEXT(E55,"0000"),2,1)))</f>
        <v/>
      </c>
      <c r="S55" s="23">
        <f>IF(F55="","",VALUE(MID(TEXT(F55,"0000"),2,1)))</f>
        <v/>
      </c>
      <c r="T55" s="20">
        <f>IF(D55="","",IF(COUNTIF(Q55:S55,"&gt;=5")=3,"🔴 全大",IF(COUNTIF(Q55:S55,"&gt;=5")=0,"🔵 全小",IF(COUNTIF(Q55:S55,"&gt;=5")=2,"▲ 偏大","▼ 偏小"))))</f>
        <v/>
      </c>
      <c r="U55" s="20">
        <f>IF(D55="","",IF((MOD(Q55,2)=1)+(MOD(R55,2)=1)+(MOD(S55,2)=1)=3,"⚫ 全单",IF((MOD(Q55,2)=1)+(MOD(R55,2)=1)+(MOD(S55,2)=1)=0,"🟣 全双",IF((MOD(Q55,2)=1)+(MOD(R55,2)=1)+(MOD(S55,2)=1)=2,"◑ 偏单","◑ 偏双"))))</f>
        <v/>
      </c>
      <c r="V55" s="24">
        <f>IF(D55="","",IF(D54="",1,IF(ISNUMBER(SEARCH("大",T55))=ISNUMBER(SEARCH("大",T54)),V54+1,1)))</f>
        <v/>
      </c>
      <c r="W55" s="20">
        <f>IF(V55="","",IF(V55&gt;=4,"🚨 "&amp;V55&amp;"期·警惕反转",IF(V55=3,"⚠️ 3期连续","—")))</f>
        <v/>
      </c>
      <c r="X55" s="22">
        <f>IF(T55="","—",IF(ISNUMBER(SEARCH("大",T55)),IF(OR(T55="🔴 全大"),IF(V55&gt;=4,"x大xx 强·⚠️反转?",IF(V55=3,"x大xx 强·连3期","x大xx ✅强用")),"x大xx △弱参考"),IF(OR(T55="🔵 全小"),IF(V55&gt;=4,"x小xx 强·⚠️反转?",IF(V55=3,"x小xx 强·连3期","x小xx ✅强用")),"x小xx △弱参考")))</f>
        <v/>
      </c>
      <c r="Y55" s="3" t="n"/>
      <c r="Z55" s="25">
        <f>IF(D55="","",VALUE(MID(TEXT(D55,"0000"),3,1)))</f>
        <v/>
      </c>
      <c r="AA55" s="25">
        <f>IF(E55="","",VALUE(MID(TEXT(E55,"0000"),3,1)))</f>
        <v/>
      </c>
      <c r="AB55" s="25">
        <f>IF(F55="","",VALUE(MID(TEXT(F55,"0000"),3,1)))</f>
        <v/>
      </c>
      <c r="AC55" s="20">
        <f>IF(D55="","",IF(COUNTIF(Z55:AB55,"&gt;=5")=3,"🔴 全大",IF(COUNTIF(Z55:AB55,"&gt;=5")=0,"🔵 全小",IF(COUNTIF(Z55:AB55,"&gt;=5")=2,"▲ 偏大","▼ 偏小"))))</f>
        <v/>
      </c>
      <c r="AD55" s="20">
        <f>IF(D55="","",IF((MOD(Z55,2)=1)+(MOD(AA55,2)=1)+(MOD(AB55,2)=1)=3,"⚫ 全单",IF((MOD(Z55,2)=1)+(MOD(AA55,2)=1)+(MOD(AB55,2)=1)=0,"🟣 全双",IF((MOD(Z55,2)=1)+(MOD(AA55,2)=1)+(MOD(AB55,2)=1)=2,"◑ 偏单","◑ 偏双"))))</f>
        <v/>
      </c>
      <c r="AE55" s="26">
        <f>IF(D55="","",IF(D54="",1,IF(ISNUMBER(SEARCH("大",AC55))=ISNUMBER(SEARCH("大",AC54)),AE54+1,1)))</f>
        <v/>
      </c>
      <c r="AF55" s="20">
        <f>IF(AE55="","",IF(AE55&gt;=4,"🚨 "&amp;AE55&amp;"期·警惕反转",IF(AE55=3,"⚠️ 3期连续","—")))</f>
        <v/>
      </c>
      <c r="AG55" s="22">
        <f>IF(AC55="","—",IF(ISNUMBER(SEARCH("大",AC55)),IF(OR(AC55="🔴 全大"),IF(AE55&gt;=4,"xx大x 强·⚠️反转?",IF(AE55=3,"xx大x 强·连3期","xx大x ✅强用")),"xx大x △弱参考"),IF(OR(AC55="🔵 全小"),IF(AE55&gt;=4,"xx小x 强·⚠️反转?",IF(AE55=3,"xx小x 强·连3期","xx小x ✅强用")),"xx小x △弱参考")))</f>
        <v/>
      </c>
      <c r="AH55" s="3" t="n"/>
      <c r="AI55" s="27">
        <f>IF(D55="","",VALUE(MID(TEXT(D55,"0000"),4,1)))</f>
        <v/>
      </c>
      <c r="AJ55" s="27">
        <f>IF(E55="","",VALUE(MID(TEXT(E55,"0000"),4,1)))</f>
        <v/>
      </c>
      <c r="AK55" s="27">
        <f>IF(F55="","",VALUE(MID(TEXT(F55,"0000"),4,1)))</f>
        <v/>
      </c>
      <c r="AL55" s="20">
        <f>IF(D55="","",IF(COUNTIF(AI55:AK55,"&gt;=5")=3,"🔴 全大",IF(COUNTIF(AI55:AK55,"&gt;=5")=0,"🔵 全小",IF(COUNTIF(AI55:AK55,"&gt;=5")=2,"▲ 偏大","▼ 偏小"))))</f>
        <v/>
      </c>
      <c r="AM55" s="20">
        <f>IF(D55="","",IF((MOD(AI55,2)=1)+(MOD(AJ55,2)=1)+(MOD(AK55,2)=1)=3,"⚫ 全单",IF((MOD(AI55,2)=1)+(MOD(AJ55,2)=1)+(MOD(AK55,2)=1)=0,"🟣 全双",IF((MOD(AI55,2)=1)+(MOD(AJ55,2)=1)+(MOD(AK55,2)=1)=2,"◑ 偏单","◑ 偏双"))))</f>
        <v/>
      </c>
      <c r="AN55" s="28">
        <f>IF(D55="","",IF(D54="",1,IF(ISNUMBER(SEARCH("大",AL55))=ISNUMBER(SEARCH("大",AL54)),AN54+1,1)))</f>
        <v/>
      </c>
      <c r="AO55" s="20">
        <f>IF(AN55="","",IF(AN55&gt;=4,"🚨 "&amp;AN55&amp;"期·警惕反转",IF(AN55=3,"⚠️ 3期连续","—")))</f>
        <v/>
      </c>
      <c r="AP55" s="22">
        <f>IF(AL55="","—",IF(ISNUMBER(SEARCH("大",AL55)),IF(OR(AL55="🔴 全大"),IF(AN55&gt;=4,"xxx大 强·⚠️反转?",IF(AN55=3,"xxx大 强·连3期","xxx大 ✅强用")),"xxx大 △弱参考"),IF(OR(AL55="🔵 全小"),IF(AN55&gt;=4,"xxx小 强·⚠️反转?",IF(AN55=3,"xxx小 强·连3期","xxx小 ✅强用")),"xxx小 △弱参考")))</f>
        <v/>
      </c>
      <c r="AQ55" s="3" t="n"/>
      <c r="AR55" s="20">
        <f>IF(OR(D55="",D54=""),"—",IF(K54="","—",IF(ISNUMBER(SEARCH("大",K54)),IF(COUNTIF(H55:J55,"&gt;=5")&gt;=2,"✅","❌"),IF(COUNTIF(H55:J55,"&gt;=5")&lt;=1,"✅","❌"))))</f>
        <v/>
      </c>
      <c r="AS55" s="20">
        <f>IF(OR(D55="",D54=""),"—",IF(T54="","—",IF(ISNUMBER(SEARCH("大",T54)),IF(COUNTIF(Q55:S55,"&gt;=5")&gt;=2,"✅","❌"),IF(COUNTIF(Q55:S55,"&gt;=5")&lt;=1,"✅","❌"))))</f>
        <v/>
      </c>
      <c r="AT55" s="20">
        <f>IF(OR(D55="",D54=""),"—",IF(AC54="","—",IF(ISNUMBER(SEARCH("大",AC54)),IF(COUNTIF(Z55:AB55,"&gt;=5")&gt;=2,"✅","❌"),IF(COUNTIF(Z55:AB55,"&gt;=5")&lt;=1,"✅","❌"))))</f>
        <v/>
      </c>
      <c r="AU55" s="20">
        <f>IF(OR(D55="",D54=""),"—",IF(AL54="","—",IF(ISNUMBER(SEARCH("大",AL54)),IF(COUNTIF(AI55:AK55,"&gt;=5")&gt;=2,"✅","❌"),IF(COUNTIF(AI55:AK55,"&gt;=5")&lt;=1,"✅","❌"))))</f>
        <v/>
      </c>
      <c r="AW55" s="30" t="n"/>
    </row>
    <row r="56" ht="18" customHeight="1">
      <c r="A56" s="16" t="n">
        <v>52</v>
      </c>
      <c r="B56" s="116" t="n"/>
      <c r="C56" s="40" t="n"/>
      <c r="D56" s="117" t="n"/>
      <c r="E56" s="117" t="n"/>
      <c r="F56" s="117" t="n"/>
      <c r="G56" s="3" t="n"/>
      <c r="H56" s="19">
        <f>IF(D56="","",VALUE(MID(TEXT(D56,"0000"),1,1)))</f>
        <v/>
      </c>
      <c r="I56" s="19">
        <f>IF(E56="","",VALUE(MID(TEXT(E56,"0000"),1,1)))</f>
        <v/>
      </c>
      <c r="J56" s="19">
        <f>IF(F56="","",VALUE(MID(TEXT(F56,"0000"),1,1)))</f>
        <v/>
      </c>
      <c r="K56" s="31">
        <f>IF(D56="","",IF(COUNTIF(H56:J56,"&gt;=5")=3,"🔴 全大",IF(COUNTIF(H56:J56,"&gt;=5")=0,"🔵 全小",IF(COUNTIF(H56:J56,"&gt;=5")=2,"▲ 偏大","▼ 偏小"))))</f>
        <v/>
      </c>
      <c r="L56" s="31">
        <f>IF(D56="","",IF((MOD(H56,2)=1)+(MOD(I56,2)=1)+(MOD(J56,2)=1)=3,"⚫ 全单",IF((MOD(H56,2)=1)+(MOD(I56,2)=1)+(MOD(J56,2)=1)=0,"🟣 全双",IF((MOD(H56,2)=1)+(MOD(I56,2)=1)+(MOD(J56,2)=1)=2,"◑ 偏单","◑ 偏双"))))</f>
        <v/>
      </c>
      <c r="M56" s="32">
        <f>IF(D56="","",IF(D55="",1,IF(ISNUMBER(SEARCH("大",K56))=ISNUMBER(SEARCH("大",K55)),M55+1,1)))</f>
        <v/>
      </c>
      <c r="N56" s="31">
        <f>IF(M56="","",IF(M56&gt;=4,"🚨 "&amp;M56&amp;"期·警惕反转",IF(M56=3,"⚠️ 3期连续","—")))</f>
        <v/>
      </c>
      <c r="O56" s="22">
        <f>IF(K56="","—",IF(ISNUMBER(SEARCH("大",K56)),IF(OR(K56="🔴 全大"),IF(M56&gt;=4,"大xxx 强·⚠️反转?",IF(M56=3,"大xxx 强·连3期","大xxx ✅强用")),"大xxx △弱参考"),IF(OR(K56="🔵 全小"),IF(M56&gt;=4,"小xxx 强·⚠️反转?",IF(M56=3,"小xxx 强·连3期","小xxx ✅强用")),"小xxx △弱参考")))</f>
        <v/>
      </c>
      <c r="P56" s="3" t="n"/>
      <c r="Q56" s="23">
        <f>IF(D56="","",VALUE(MID(TEXT(D56,"0000"),2,1)))</f>
        <v/>
      </c>
      <c r="R56" s="23">
        <f>IF(E56="","",VALUE(MID(TEXT(E56,"0000"),2,1)))</f>
        <v/>
      </c>
      <c r="S56" s="23">
        <f>IF(F56="","",VALUE(MID(TEXT(F56,"0000"),2,1)))</f>
        <v/>
      </c>
      <c r="T56" s="31">
        <f>IF(D56="","",IF(COUNTIF(Q56:S56,"&gt;=5")=3,"🔴 全大",IF(COUNTIF(Q56:S56,"&gt;=5")=0,"🔵 全小",IF(COUNTIF(Q56:S56,"&gt;=5")=2,"▲ 偏大","▼ 偏小"))))</f>
        <v/>
      </c>
      <c r="U56" s="31">
        <f>IF(D56="","",IF((MOD(Q56,2)=1)+(MOD(R56,2)=1)+(MOD(S56,2)=1)=3,"⚫ 全单",IF((MOD(Q56,2)=1)+(MOD(R56,2)=1)+(MOD(S56,2)=1)=0,"🟣 全双",IF((MOD(Q56,2)=1)+(MOD(R56,2)=1)+(MOD(S56,2)=1)=2,"◑ 偏单","◑ 偏双"))))</f>
        <v/>
      </c>
      <c r="V56" s="33">
        <f>IF(D56="","",IF(D55="",1,IF(ISNUMBER(SEARCH("大",T56))=ISNUMBER(SEARCH("大",T55)),V55+1,1)))</f>
        <v/>
      </c>
      <c r="W56" s="31">
        <f>IF(V56="","",IF(V56&gt;=4,"🚨 "&amp;V56&amp;"期·警惕反转",IF(V56=3,"⚠️ 3期连续","—")))</f>
        <v/>
      </c>
      <c r="X56" s="22">
        <f>IF(T56="","—",IF(ISNUMBER(SEARCH("大",T56)),IF(OR(T56="🔴 全大"),IF(V56&gt;=4,"x大xx 强·⚠️反转?",IF(V56=3,"x大xx 强·连3期","x大xx ✅强用")),"x大xx △弱参考"),IF(OR(T56="🔵 全小"),IF(V56&gt;=4,"x小xx 强·⚠️反转?",IF(V56=3,"x小xx 强·连3期","x小xx ✅强用")),"x小xx △弱参考")))</f>
        <v/>
      </c>
      <c r="Y56" s="3" t="n"/>
      <c r="Z56" s="25">
        <f>IF(D56="","",VALUE(MID(TEXT(D56,"0000"),3,1)))</f>
        <v/>
      </c>
      <c r="AA56" s="25">
        <f>IF(E56="","",VALUE(MID(TEXT(E56,"0000"),3,1)))</f>
        <v/>
      </c>
      <c r="AB56" s="25">
        <f>IF(F56="","",VALUE(MID(TEXT(F56,"0000"),3,1)))</f>
        <v/>
      </c>
      <c r="AC56" s="31">
        <f>IF(D56="","",IF(COUNTIF(Z56:AB56,"&gt;=5")=3,"🔴 全大",IF(COUNTIF(Z56:AB56,"&gt;=5")=0,"🔵 全小",IF(COUNTIF(Z56:AB56,"&gt;=5")=2,"▲ 偏大","▼ 偏小"))))</f>
        <v/>
      </c>
      <c r="AD56" s="31">
        <f>IF(D56="","",IF((MOD(Z56,2)=1)+(MOD(AA56,2)=1)+(MOD(AB56,2)=1)=3,"⚫ 全单",IF((MOD(Z56,2)=1)+(MOD(AA56,2)=1)+(MOD(AB56,2)=1)=0,"🟣 全双",IF((MOD(Z56,2)=1)+(MOD(AA56,2)=1)+(MOD(AB56,2)=1)=2,"◑ 偏单","◑ 偏双"))))</f>
        <v/>
      </c>
      <c r="AE56" s="34">
        <f>IF(D56="","",IF(D55="",1,IF(ISNUMBER(SEARCH("大",AC56))=ISNUMBER(SEARCH("大",AC55)),AE55+1,1)))</f>
        <v/>
      </c>
      <c r="AF56" s="31">
        <f>IF(AE56="","",IF(AE56&gt;=4,"🚨 "&amp;AE56&amp;"期·警惕反转",IF(AE56=3,"⚠️ 3期连续","—")))</f>
        <v/>
      </c>
      <c r="AG56" s="22">
        <f>IF(AC56="","—",IF(ISNUMBER(SEARCH("大",AC56)),IF(OR(AC56="🔴 全大"),IF(AE56&gt;=4,"xx大x 强·⚠️反转?",IF(AE56=3,"xx大x 强·连3期","xx大x ✅强用")),"xx大x △弱参考"),IF(OR(AC56="🔵 全小"),IF(AE56&gt;=4,"xx小x 强·⚠️反转?",IF(AE56=3,"xx小x 强·连3期","xx小x ✅强用")),"xx小x △弱参考")))</f>
        <v/>
      </c>
      <c r="AH56" s="3" t="n"/>
      <c r="AI56" s="27">
        <f>IF(D56="","",VALUE(MID(TEXT(D56,"0000"),4,1)))</f>
        <v/>
      </c>
      <c r="AJ56" s="27">
        <f>IF(E56="","",VALUE(MID(TEXT(E56,"0000"),4,1)))</f>
        <v/>
      </c>
      <c r="AK56" s="27">
        <f>IF(F56="","",VALUE(MID(TEXT(F56,"0000"),4,1)))</f>
        <v/>
      </c>
      <c r="AL56" s="31">
        <f>IF(D56="","",IF(COUNTIF(AI56:AK56,"&gt;=5")=3,"🔴 全大",IF(COUNTIF(AI56:AK56,"&gt;=5")=0,"🔵 全小",IF(COUNTIF(AI56:AK56,"&gt;=5")=2,"▲ 偏大","▼ 偏小"))))</f>
        <v/>
      </c>
      <c r="AM56" s="31">
        <f>IF(D56="","",IF((MOD(AI56,2)=1)+(MOD(AJ56,2)=1)+(MOD(AK56,2)=1)=3,"⚫ 全单",IF((MOD(AI56,2)=1)+(MOD(AJ56,2)=1)+(MOD(AK56,2)=1)=0,"🟣 全双",IF((MOD(AI56,2)=1)+(MOD(AJ56,2)=1)+(MOD(AK56,2)=1)=2,"◑ 偏单","◑ 偏双"))))</f>
        <v/>
      </c>
      <c r="AN56" s="35">
        <f>IF(D56="","",IF(D55="",1,IF(ISNUMBER(SEARCH("大",AL56))=ISNUMBER(SEARCH("大",AL55)),AN55+1,1)))</f>
        <v/>
      </c>
      <c r="AO56" s="31">
        <f>IF(AN56="","",IF(AN56&gt;=4,"🚨 "&amp;AN56&amp;"期·警惕反转",IF(AN56=3,"⚠️ 3期连续","—")))</f>
        <v/>
      </c>
      <c r="AP56" s="22">
        <f>IF(AL56="","—",IF(ISNUMBER(SEARCH("大",AL56)),IF(OR(AL56="🔴 全大"),IF(AN56&gt;=4,"xxx大 强·⚠️反转?",IF(AN56=3,"xxx大 强·连3期","xxx大 ✅强用")),"xxx大 △弱参考"),IF(OR(AL56="🔵 全小"),IF(AN56&gt;=4,"xxx小 强·⚠️反转?",IF(AN56=3,"xxx小 强·连3期","xxx小 ✅强用")),"xxx小 △弱参考")))</f>
        <v/>
      </c>
      <c r="AQ56" s="3" t="n"/>
      <c r="AR56" s="31">
        <f>IF(OR(D56="",D55=""),"—",IF(K55="","—",IF(ISNUMBER(SEARCH("大",K55)),IF(COUNTIF(H56:J56,"&gt;=5")&gt;=2,"✅","❌"),IF(COUNTIF(H56:J56,"&gt;=5")&lt;=1,"✅","❌"))))</f>
        <v/>
      </c>
      <c r="AS56" s="31">
        <f>IF(OR(D56="",D55=""),"—",IF(T55="","—",IF(ISNUMBER(SEARCH("大",T55)),IF(COUNTIF(Q56:S56,"&gt;=5")&gt;=2,"✅","❌"),IF(COUNTIF(Q56:S56,"&gt;=5")&lt;=1,"✅","❌"))))</f>
        <v/>
      </c>
      <c r="AT56" s="31">
        <f>IF(OR(D56="",D55=""),"—",IF(AC55="","—",IF(ISNUMBER(SEARCH("大",AC55)),IF(COUNTIF(Z56:AB56,"&gt;=5")&gt;=2,"✅","❌"),IF(COUNTIF(Z56:AB56,"&gt;=5")&lt;=1,"✅","❌"))))</f>
        <v/>
      </c>
      <c r="AU56" s="31">
        <f>IF(OR(D56="",D55=""),"—",IF(AL55="","—",IF(ISNUMBER(SEARCH("大",AL55)),IF(COUNTIF(AI56:AK56,"&gt;=5")&gt;=2,"✅","❌"),IF(COUNTIF(AI56:AK56,"&gt;=5")&lt;=1,"✅","❌"))))</f>
        <v/>
      </c>
      <c r="AW56" s="36" t="n"/>
    </row>
    <row r="57" ht="18" customHeight="1">
      <c r="A57" s="16" t="n">
        <v>53</v>
      </c>
      <c r="B57" s="114" t="n"/>
      <c r="C57" s="18" t="n"/>
      <c r="D57" s="115" t="n"/>
      <c r="E57" s="115" t="n"/>
      <c r="F57" s="115" t="n"/>
      <c r="G57" s="3" t="n"/>
      <c r="H57" s="19">
        <f>IF(D57="","",VALUE(MID(TEXT(D57,"0000"),1,1)))</f>
        <v/>
      </c>
      <c r="I57" s="19">
        <f>IF(E57="","",VALUE(MID(TEXT(E57,"0000"),1,1)))</f>
        <v/>
      </c>
      <c r="J57" s="19">
        <f>IF(F57="","",VALUE(MID(TEXT(F57,"0000"),1,1)))</f>
        <v/>
      </c>
      <c r="K57" s="20">
        <f>IF(D57="","",IF(COUNTIF(H57:J57,"&gt;=5")=3,"🔴 全大",IF(COUNTIF(H57:J57,"&gt;=5")=0,"🔵 全小",IF(COUNTIF(H57:J57,"&gt;=5")=2,"▲ 偏大","▼ 偏小"))))</f>
        <v/>
      </c>
      <c r="L57" s="20">
        <f>IF(D57="","",IF((MOD(H57,2)=1)+(MOD(I57,2)=1)+(MOD(J57,2)=1)=3,"⚫ 全单",IF((MOD(H57,2)=1)+(MOD(I57,2)=1)+(MOD(J57,2)=1)=0,"🟣 全双",IF((MOD(H57,2)=1)+(MOD(I57,2)=1)+(MOD(J57,2)=1)=2,"◑ 偏单","◑ 偏双"))))</f>
        <v/>
      </c>
      <c r="M57" s="21">
        <f>IF(D57="","",IF(D56="",1,IF(ISNUMBER(SEARCH("大",K57))=ISNUMBER(SEARCH("大",K56)),M56+1,1)))</f>
        <v/>
      </c>
      <c r="N57" s="20">
        <f>IF(M57="","",IF(M57&gt;=4,"🚨 "&amp;M57&amp;"期·警惕反转",IF(M57=3,"⚠️ 3期连续","—")))</f>
        <v/>
      </c>
      <c r="O57" s="22">
        <f>IF(K57="","—",IF(ISNUMBER(SEARCH("大",K57)),IF(OR(K57="🔴 全大"),IF(M57&gt;=4,"大xxx 强·⚠️反转?",IF(M57=3,"大xxx 强·连3期","大xxx ✅强用")),"大xxx △弱参考"),IF(OR(K57="🔵 全小"),IF(M57&gt;=4,"小xxx 强·⚠️反转?",IF(M57=3,"小xxx 强·连3期","小xxx ✅强用")),"小xxx △弱参考")))</f>
        <v/>
      </c>
      <c r="P57" s="3" t="n"/>
      <c r="Q57" s="23">
        <f>IF(D57="","",VALUE(MID(TEXT(D57,"0000"),2,1)))</f>
        <v/>
      </c>
      <c r="R57" s="23">
        <f>IF(E57="","",VALUE(MID(TEXT(E57,"0000"),2,1)))</f>
        <v/>
      </c>
      <c r="S57" s="23">
        <f>IF(F57="","",VALUE(MID(TEXT(F57,"0000"),2,1)))</f>
        <v/>
      </c>
      <c r="T57" s="20">
        <f>IF(D57="","",IF(COUNTIF(Q57:S57,"&gt;=5")=3,"🔴 全大",IF(COUNTIF(Q57:S57,"&gt;=5")=0,"🔵 全小",IF(COUNTIF(Q57:S57,"&gt;=5")=2,"▲ 偏大","▼ 偏小"))))</f>
        <v/>
      </c>
      <c r="U57" s="20">
        <f>IF(D57="","",IF((MOD(Q57,2)=1)+(MOD(R57,2)=1)+(MOD(S57,2)=1)=3,"⚫ 全单",IF((MOD(Q57,2)=1)+(MOD(R57,2)=1)+(MOD(S57,2)=1)=0,"🟣 全双",IF((MOD(Q57,2)=1)+(MOD(R57,2)=1)+(MOD(S57,2)=1)=2,"◑ 偏单","◑ 偏双"))))</f>
        <v/>
      </c>
      <c r="V57" s="24">
        <f>IF(D57="","",IF(D56="",1,IF(ISNUMBER(SEARCH("大",T57))=ISNUMBER(SEARCH("大",T56)),V56+1,1)))</f>
        <v/>
      </c>
      <c r="W57" s="20">
        <f>IF(V57="","",IF(V57&gt;=4,"🚨 "&amp;V57&amp;"期·警惕反转",IF(V57=3,"⚠️ 3期连续","—")))</f>
        <v/>
      </c>
      <c r="X57" s="22">
        <f>IF(T57="","—",IF(ISNUMBER(SEARCH("大",T57)),IF(OR(T57="🔴 全大"),IF(V57&gt;=4,"x大xx 强·⚠️反转?",IF(V57=3,"x大xx 强·连3期","x大xx ✅强用")),"x大xx △弱参考"),IF(OR(T57="🔵 全小"),IF(V57&gt;=4,"x小xx 强·⚠️反转?",IF(V57=3,"x小xx 强·连3期","x小xx ✅强用")),"x小xx △弱参考")))</f>
        <v/>
      </c>
      <c r="Y57" s="3" t="n"/>
      <c r="Z57" s="25">
        <f>IF(D57="","",VALUE(MID(TEXT(D57,"0000"),3,1)))</f>
        <v/>
      </c>
      <c r="AA57" s="25">
        <f>IF(E57="","",VALUE(MID(TEXT(E57,"0000"),3,1)))</f>
        <v/>
      </c>
      <c r="AB57" s="25">
        <f>IF(F57="","",VALUE(MID(TEXT(F57,"0000"),3,1)))</f>
        <v/>
      </c>
      <c r="AC57" s="20">
        <f>IF(D57="","",IF(COUNTIF(Z57:AB57,"&gt;=5")=3,"🔴 全大",IF(COUNTIF(Z57:AB57,"&gt;=5")=0,"🔵 全小",IF(COUNTIF(Z57:AB57,"&gt;=5")=2,"▲ 偏大","▼ 偏小"))))</f>
        <v/>
      </c>
      <c r="AD57" s="20">
        <f>IF(D57="","",IF((MOD(Z57,2)=1)+(MOD(AA57,2)=1)+(MOD(AB57,2)=1)=3,"⚫ 全单",IF((MOD(Z57,2)=1)+(MOD(AA57,2)=1)+(MOD(AB57,2)=1)=0,"🟣 全双",IF((MOD(Z57,2)=1)+(MOD(AA57,2)=1)+(MOD(AB57,2)=1)=2,"◑ 偏单","◑ 偏双"))))</f>
        <v/>
      </c>
      <c r="AE57" s="26">
        <f>IF(D57="","",IF(D56="",1,IF(ISNUMBER(SEARCH("大",AC57))=ISNUMBER(SEARCH("大",AC56)),AE56+1,1)))</f>
        <v/>
      </c>
      <c r="AF57" s="20">
        <f>IF(AE57="","",IF(AE57&gt;=4,"🚨 "&amp;AE57&amp;"期·警惕反转",IF(AE57=3,"⚠️ 3期连续","—")))</f>
        <v/>
      </c>
      <c r="AG57" s="22">
        <f>IF(AC57="","—",IF(ISNUMBER(SEARCH("大",AC57)),IF(OR(AC57="🔴 全大"),IF(AE57&gt;=4,"xx大x 强·⚠️反转?",IF(AE57=3,"xx大x 强·连3期","xx大x ✅强用")),"xx大x △弱参考"),IF(OR(AC57="🔵 全小"),IF(AE57&gt;=4,"xx小x 强·⚠️反转?",IF(AE57=3,"xx小x 强·连3期","xx小x ✅强用")),"xx小x △弱参考")))</f>
        <v/>
      </c>
      <c r="AH57" s="3" t="n"/>
      <c r="AI57" s="27">
        <f>IF(D57="","",VALUE(MID(TEXT(D57,"0000"),4,1)))</f>
        <v/>
      </c>
      <c r="AJ57" s="27">
        <f>IF(E57="","",VALUE(MID(TEXT(E57,"0000"),4,1)))</f>
        <v/>
      </c>
      <c r="AK57" s="27">
        <f>IF(F57="","",VALUE(MID(TEXT(F57,"0000"),4,1)))</f>
        <v/>
      </c>
      <c r="AL57" s="20">
        <f>IF(D57="","",IF(COUNTIF(AI57:AK57,"&gt;=5")=3,"🔴 全大",IF(COUNTIF(AI57:AK57,"&gt;=5")=0,"🔵 全小",IF(COUNTIF(AI57:AK57,"&gt;=5")=2,"▲ 偏大","▼ 偏小"))))</f>
        <v/>
      </c>
      <c r="AM57" s="20">
        <f>IF(D57="","",IF((MOD(AI57,2)=1)+(MOD(AJ57,2)=1)+(MOD(AK57,2)=1)=3,"⚫ 全单",IF((MOD(AI57,2)=1)+(MOD(AJ57,2)=1)+(MOD(AK57,2)=1)=0,"🟣 全双",IF((MOD(AI57,2)=1)+(MOD(AJ57,2)=1)+(MOD(AK57,2)=1)=2,"◑ 偏单","◑ 偏双"))))</f>
        <v/>
      </c>
      <c r="AN57" s="28">
        <f>IF(D57="","",IF(D56="",1,IF(ISNUMBER(SEARCH("大",AL57))=ISNUMBER(SEARCH("大",AL56)),AN56+1,1)))</f>
        <v/>
      </c>
      <c r="AO57" s="20">
        <f>IF(AN57="","",IF(AN57&gt;=4,"🚨 "&amp;AN57&amp;"期·警惕反转",IF(AN57=3,"⚠️ 3期连续","—")))</f>
        <v/>
      </c>
      <c r="AP57" s="22">
        <f>IF(AL57="","—",IF(ISNUMBER(SEARCH("大",AL57)),IF(OR(AL57="🔴 全大"),IF(AN57&gt;=4,"xxx大 强·⚠️反转?",IF(AN57=3,"xxx大 强·连3期","xxx大 ✅强用")),"xxx大 △弱参考"),IF(OR(AL57="🔵 全小"),IF(AN57&gt;=4,"xxx小 强·⚠️反转?",IF(AN57=3,"xxx小 强·连3期","xxx小 ✅强用")),"xxx小 △弱参考")))</f>
        <v/>
      </c>
      <c r="AQ57" s="3" t="n"/>
      <c r="AR57" s="20">
        <f>IF(OR(D57="",D56=""),"—",IF(K56="","—",IF(ISNUMBER(SEARCH("大",K56)),IF(COUNTIF(H57:J57,"&gt;=5")&gt;=2,"✅","❌"),IF(COUNTIF(H57:J57,"&gt;=5")&lt;=1,"✅","❌"))))</f>
        <v/>
      </c>
      <c r="AS57" s="20">
        <f>IF(OR(D57="",D56=""),"—",IF(T56="","—",IF(ISNUMBER(SEARCH("大",T56)),IF(COUNTIF(Q57:S57,"&gt;=5")&gt;=2,"✅","❌"),IF(COUNTIF(Q57:S57,"&gt;=5")&lt;=1,"✅","❌"))))</f>
        <v/>
      </c>
      <c r="AT57" s="20">
        <f>IF(OR(D57="",D56=""),"—",IF(AC56="","—",IF(ISNUMBER(SEARCH("大",AC56)),IF(COUNTIF(Z57:AB57,"&gt;=5")&gt;=2,"✅","❌"),IF(COUNTIF(Z57:AB57,"&gt;=5")&lt;=1,"✅","❌"))))</f>
        <v/>
      </c>
      <c r="AU57" s="20">
        <f>IF(OR(D57="",D56=""),"—",IF(AL56="","—",IF(ISNUMBER(SEARCH("大",AL56)),IF(COUNTIF(AI57:AK57,"&gt;=5")&gt;=2,"✅","❌"),IF(COUNTIF(AI57:AK57,"&gt;=5")&lt;=1,"✅","❌"))))</f>
        <v/>
      </c>
      <c r="AW57" s="30" t="n"/>
    </row>
    <row r="58" ht="18" customHeight="1">
      <c r="A58" s="16" t="n">
        <v>54</v>
      </c>
      <c r="B58" s="116" t="n"/>
      <c r="C58" s="40" t="n"/>
      <c r="D58" s="117" t="n"/>
      <c r="E58" s="117" t="n"/>
      <c r="F58" s="117" t="n"/>
      <c r="G58" s="3" t="n"/>
      <c r="H58" s="19">
        <f>IF(D58="","",VALUE(MID(TEXT(D58,"0000"),1,1)))</f>
        <v/>
      </c>
      <c r="I58" s="19">
        <f>IF(E58="","",VALUE(MID(TEXT(E58,"0000"),1,1)))</f>
        <v/>
      </c>
      <c r="J58" s="19">
        <f>IF(F58="","",VALUE(MID(TEXT(F58,"0000"),1,1)))</f>
        <v/>
      </c>
      <c r="K58" s="31">
        <f>IF(D58="","",IF(COUNTIF(H58:J58,"&gt;=5")=3,"🔴 全大",IF(COUNTIF(H58:J58,"&gt;=5")=0,"🔵 全小",IF(COUNTIF(H58:J58,"&gt;=5")=2,"▲ 偏大","▼ 偏小"))))</f>
        <v/>
      </c>
      <c r="L58" s="31">
        <f>IF(D58="","",IF((MOD(H58,2)=1)+(MOD(I58,2)=1)+(MOD(J58,2)=1)=3,"⚫ 全单",IF((MOD(H58,2)=1)+(MOD(I58,2)=1)+(MOD(J58,2)=1)=0,"🟣 全双",IF((MOD(H58,2)=1)+(MOD(I58,2)=1)+(MOD(J58,2)=1)=2,"◑ 偏单","◑ 偏双"))))</f>
        <v/>
      </c>
      <c r="M58" s="32">
        <f>IF(D58="","",IF(D57="",1,IF(ISNUMBER(SEARCH("大",K58))=ISNUMBER(SEARCH("大",K57)),M57+1,1)))</f>
        <v/>
      </c>
      <c r="N58" s="31">
        <f>IF(M58="","",IF(M58&gt;=4,"🚨 "&amp;M58&amp;"期·警惕反转",IF(M58=3,"⚠️ 3期连续","—")))</f>
        <v/>
      </c>
      <c r="O58" s="22">
        <f>IF(K58="","—",IF(ISNUMBER(SEARCH("大",K58)),IF(OR(K58="🔴 全大"),IF(M58&gt;=4,"大xxx 强·⚠️反转?",IF(M58=3,"大xxx 强·连3期","大xxx ✅强用")),"大xxx △弱参考"),IF(OR(K58="🔵 全小"),IF(M58&gt;=4,"小xxx 强·⚠️反转?",IF(M58=3,"小xxx 强·连3期","小xxx ✅强用")),"小xxx △弱参考")))</f>
        <v/>
      </c>
      <c r="P58" s="3" t="n"/>
      <c r="Q58" s="23">
        <f>IF(D58="","",VALUE(MID(TEXT(D58,"0000"),2,1)))</f>
        <v/>
      </c>
      <c r="R58" s="23">
        <f>IF(E58="","",VALUE(MID(TEXT(E58,"0000"),2,1)))</f>
        <v/>
      </c>
      <c r="S58" s="23">
        <f>IF(F58="","",VALUE(MID(TEXT(F58,"0000"),2,1)))</f>
        <v/>
      </c>
      <c r="T58" s="31">
        <f>IF(D58="","",IF(COUNTIF(Q58:S58,"&gt;=5")=3,"🔴 全大",IF(COUNTIF(Q58:S58,"&gt;=5")=0,"🔵 全小",IF(COUNTIF(Q58:S58,"&gt;=5")=2,"▲ 偏大","▼ 偏小"))))</f>
        <v/>
      </c>
      <c r="U58" s="31">
        <f>IF(D58="","",IF((MOD(Q58,2)=1)+(MOD(R58,2)=1)+(MOD(S58,2)=1)=3,"⚫ 全单",IF((MOD(Q58,2)=1)+(MOD(R58,2)=1)+(MOD(S58,2)=1)=0,"🟣 全双",IF((MOD(Q58,2)=1)+(MOD(R58,2)=1)+(MOD(S58,2)=1)=2,"◑ 偏单","◑ 偏双"))))</f>
        <v/>
      </c>
      <c r="V58" s="33">
        <f>IF(D58="","",IF(D57="",1,IF(ISNUMBER(SEARCH("大",T58))=ISNUMBER(SEARCH("大",T57)),V57+1,1)))</f>
        <v/>
      </c>
      <c r="W58" s="31">
        <f>IF(V58="","",IF(V58&gt;=4,"🚨 "&amp;V58&amp;"期·警惕反转",IF(V58=3,"⚠️ 3期连续","—")))</f>
        <v/>
      </c>
      <c r="X58" s="22">
        <f>IF(T58="","—",IF(ISNUMBER(SEARCH("大",T58)),IF(OR(T58="🔴 全大"),IF(V58&gt;=4,"x大xx 强·⚠️反转?",IF(V58=3,"x大xx 强·连3期","x大xx ✅强用")),"x大xx △弱参考"),IF(OR(T58="🔵 全小"),IF(V58&gt;=4,"x小xx 强·⚠️反转?",IF(V58=3,"x小xx 强·连3期","x小xx ✅强用")),"x小xx △弱参考")))</f>
        <v/>
      </c>
      <c r="Y58" s="3" t="n"/>
      <c r="Z58" s="25">
        <f>IF(D58="","",VALUE(MID(TEXT(D58,"0000"),3,1)))</f>
        <v/>
      </c>
      <c r="AA58" s="25">
        <f>IF(E58="","",VALUE(MID(TEXT(E58,"0000"),3,1)))</f>
        <v/>
      </c>
      <c r="AB58" s="25">
        <f>IF(F58="","",VALUE(MID(TEXT(F58,"0000"),3,1)))</f>
        <v/>
      </c>
      <c r="AC58" s="31">
        <f>IF(D58="","",IF(COUNTIF(Z58:AB58,"&gt;=5")=3,"🔴 全大",IF(COUNTIF(Z58:AB58,"&gt;=5")=0,"🔵 全小",IF(COUNTIF(Z58:AB58,"&gt;=5")=2,"▲ 偏大","▼ 偏小"))))</f>
        <v/>
      </c>
      <c r="AD58" s="31">
        <f>IF(D58="","",IF((MOD(Z58,2)=1)+(MOD(AA58,2)=1)+(MOD(AB58,2)=1)=3,"⚫ 全单",IF((MOD(Z58,2)=1)+(MOD(AA58,2)=1)+(MOD(AB58,2)=1)=0,"🟣 全双",IF((MOD(Z58,2)=1)+(MOD(AA58,2)=1)+(MOD(AB58,2)=1)=2,"◑ 偏单","◑ 偏双"))))</f>
        <v/>
      </c>
      <c r="AE58" s="34">
        <f>IF(D58="","",IF(D57="",1,IF(ISNUMBER(SEARCH("大",AC58))=ISNUMBER(SEARCH("大",AC57)),AE57+1,1)))</f>
        <v/>
      </c>
      <c r="AF58" s="31">
        <f>IF(AE58="","",IF(AE58&gt;=4,"🚨 "&amp;AE58&amp;"期·警惕反转",IF(AE58=3,"⚠️ 3期连续","—")))</f>
        <v/>
      </c>
      <c r="AG58" s="22">
        <f>IF(AC58="","—",IF(ISNUMBER(SEARCH("大",AC58)),IF(OR(AC58="🔴 全大"),IF(AE58&gt;=4,"xx大x 强·⚠️反转?",IF(AE58=3,"xx大x 强·连3期","xx大x ✅强用")),"xx大x △弱参考"),IF(OR(AC58="🔵 全小"),IF(AE58&gt;=4,"xx小x 强·⚠️反转?",IF(AE58=3,"xx小x 强·连3期","xx小x ✅强用")),"xx小x △弱参考")))</f>
        <v/>
      </c>
      <c r="AH58" s="3" t="n"/>
      <c r="AI58" s="27">
        <f>IF(D58="","",VALUE(MID(TEXT(D58,"0000"),4,1)))</f>
        <v/>
      </c>
      <c r="AJ58" s="27">
        <f>IF(E58="","",VALUE(MID(TEXT(E58,"0000"),4,1)))</f>
        <v/>
      </c>
      <c r="AK58" s="27">
        <f>IF(F58="","",VALUE(MID(TEXT(F58,"0000"),4,1)))</f>
        <v/>
      </c>
      <c r="AL58" s="31">
        <f>IF(D58="","",IF(COUNTIF(AI58:AK58,"&gt;=5")=3,"🔴 全大",IF(COUNTIF(AI58:AK58,"&gt;=5")=0,"🔵 全小",IF(COUNTIF(AI58:AK58,"&gt;=5")=2,"▲ 偏大","▼ 偏小"))))</f>
        <v/>
      </c>
      <c r="AM58" s="31">
        <f>IF(D58="","",IF((MOD(AI58,2)=1)+(MOD(AJ58,2)=1)+(MOD(AK58,2)=1)=3,"⚫ 全单",IF((MOD(AI58,2)=1)+(MOD(AJ58,2)=1)+(MOD(AK58,2)=1)=0,"🟣 全双",IF((MOD(AI58,2)=1)+(MOD(AJ58,2)=1)+(MOD(AK58,2)=1)=2,"◑ 偏单","◑ 偏双"))))</f>
        <v/>
      </c>
      <c r="AN58" s="35">
        <f>IF(D58="","",IF(D57="",1,IF(ISNUMBER(SEARCH("大",AL58))=ISNUMBER(SEARCH("大",AL57)),AN57+1,1)))</f>
        <v/>
      </c>
      <c r="AO58" s="31">
        <f>IF(AN58="","",IF(AN58&gt;=4,"🚨 "&amp;AN58&amp;"期·警惕反转",IF(AN58=3,"⚠️ 3期连续","—")))</f>
        <v/>
      </c>
      <c r="AP58" s="22">
        <f>IF(AL58="","—",IF(ISNUMBER(SEARCH("大",AL58)),IF(OR(AL58="🔴 全大"),IF(AN58&gt;=4,"xxx大 强·⚠️反转?",IF(AN58=3,"xxx大 强·连3期","xxx大 ✅强用")),"xxx大 △弱参考"),IF(OR(AL58="🔵 全小"),IF(AN58&gt;=4,"xxx小 强·⚠️反转?",IF(AN58=3,"xxx小 强·连3期","xxx小 ✅强用")),"xxx小 △弱参考")))</f>
        <v/>
      </c>
      <c r="AQ58" s="3" t="n"/>
      <c r="AR58" s="31">
        <f>IF(OR(D58="",D57=""),"—",IF(K57="","—",IF(ISNUMBER(SEARCH("大",K57)),IF(COUNTIF(H58:J58,"&gt;=5")&gt;=2,"✅","❌"),IF(COUNTIF(H58:J58,"&gt;=5")&lt;=1,"✅","❌"))))</f>
        <v/>
      </c>
      <c r="AS58" s="31">
        <f>IF(OR(D58="",D57=""),"—",IF(T57="","—",IF(ISNUMBER(SEARCH("大",T57)),IF(COUNTIF(Q58:S58,"&gt;=5")&gt;=2,"✅","❌"),IF(COUNTIF(Q58:S58,"&gt;=5")&lt;=1,"✅","❌"))))</f>
        <v/>
      </c>
      <c r="AT58" s="31">
        <f>IF(OR(D58="",D57=""),"—",IF(AC57="","—",IF(ISNUMBER(SEARCH("大",AC57)),IF(COUNTIF(Z58:AB58,"&gt;=5")&gt;=2,"✅","❌"),IF(COUNTIF(Z58:AB58,"&gt;=5")&lt;=1,"✅","❌"))))</f>
        <v/>
      </c>
      <c r="AU58" s="31">
        <f>IF(OR(D58="",D57=""),"—",IF(AL57="","—",IF(ISNUMBER(SEARCH("大",AL57)),IF(COUNTIF(AI58:AK58,"&gt;=5")&gt;=2,"✅","❌"),IF(COUNTIF(AI58:AK58,"&gt;=5")&lt;=1,"✅","❌"))))</f>
        <v/>
      </c>
      <c r="AW58" s="36" t="n"/>
    </row>
    <row r="59" ht="18" customHeight="1">
      <c r="A59" s="16" t="n">
        <v>55</v>
      </c>
      <c r="B59" s="114" t="n"/>
      <c r="C59" s="18" t="n"/>
      <c r="D59" s="115" t="n"/>
      <c r="E59" s="115" t="n"/>
      <c r="F59" s="115" t="n"/>
      <c r="G59" s="3" t="n"/>
      <c r="H59" s="19">
        <f>IF(D59="","",VALUE(MID(TEXT(D59,"0000"),1,1)))</f>
        <v/>
      </c>
      <c r="I59" s="19">
        <f>IF(E59="","",VALUE(MID(TEXT(E59,"0000"),1,1)))</f>
        <v/>
      </c>
      <c r="J59" s="19">
        <f>IF(F59="","",VALUE(MID(TEXT(F59,"0000"),1,1)))</f>
        <v/>
      </c>
      <c r="K59" s="20">
        <f>IF(D59="","",IF(COUNTIF(H59:J59,"&gt;=5")=3,"🔴 全大",IF(COUNTIF(H59:J59,"&gt;=5")=0,"🔵 全小",IF(COUNTIF(H59:J59,"&gt;=5")=2,"▲ 偏大","▼ 偏小"))))</f>
        <v/>
      </c>
      <c r="L59" s="20">
        <f>IF(D59="","",IF((MOD(H59,2)=1)+(MOD(I59,2)=1)+(MOD(J59,2)=1)=3,"⚫ 全单",IF((MOD(H59,2)=1)+(MOD(I59,2)=1)+(MOD(J59,2)=1)=0,"🟣 全双",IF((MOD(H59,2)=1)+(MOD(I59,2)=1)+(MOD(J59,2)=1)=2,"◑ 偏单","◑ 偏双"))))</f>
        <v/>
      </c>
      <c r="M59" s="21">
        <f>IF(D59="","",IF(D58="",1,IF(ISNUMBER(SEARCH("大",K59))=ISNUMBER(SEARCH("大",K58)),M58+1,1)))</f>
        <v/>
      </c>
      <c r="N59" s="20">
        <f>IF(M59="","",IF(M59&gt;=4,"🚨 "&amp;M59&amp;"期·警惕反转",IF(M59=3,"⚠️ 3期连续","—")))</f>
        <v/>
      </c>
      <c r="O59" s="22">
        <f>IF(K59="","—",IF(ISNUMBER(SEARCH("大",K59)),IF(OR(K59="🔴 全大"),IF(M59&gt;=4,"大xxx 强·⚠️反转?",IF(M59=3,"大xxx 强·连3期","大xxx ✅强用")),"大xxx △弱参考"),IF(OR(K59="🔵 全小"),IF(M59&gt;=4,"小xxx 强·⚠️反转?",IF(M59=3,"小xxx 强·连3期","小xxx ✅强用")),"小xxx △弱参考")))</f>
        <v/>
      </c>
      <c r="P59" s="3" t="n"/>
      <c r="Q59" s="23">
        <f>IF(D59="","",VALUE(MID(TEXT(D59,"0000"),2,1)))</f>
        <v/>
      </c>
      <c r="R59" s="23">
        <f>IF(E59="","",VALUE(MID(TEXT(E59,"0000"),2,1)))</f>
        <v/>
      </c>
      <c r="S59" s="23">
        <f>IF(F59="","",VALUE(MID(TEXT(F59,"0000"),2,1)))</f>
        <v/>
      </c>
      <c r="T59" s="20">
        <f>IF(D59="","",IF(COUNTIF(Q59:S59,"&gt;=5")=3,"🔴 全大",IF(COUNTIF(Q59:S59,"&gt;=5")=0,"🔵 全小",IF(COUNTIF(Q59:S59,"&gt;=5")=2,"▲ 偏大","▼ 偏小"))))</f>
        <v/>
      </c>
      <c r="U59" s="20">
        <f>IF(D59="","",IF((MOD(Q59,2)=1)+(MOD(R59,2)=1)+(MOD(S59,2)=1)=3,"⚫ 全单",IF((MOD(Q59,2)=1)+(MOD(R59,2)=1)+(MOD(S59,2)=1)=0,"🟣 全双",IF((MOD(Q59,2)=1)+(MOD(R59,2)=1)+(MOD(S59,2)=1)=2,"◑ 偏单","◑ 偏双"))))</f>
        <v/>
      </c>
      <c r="V59" s="24">
        <f>IF(D59="","",IF(D58="",1,IF(ISNUMBER(SEARCH("大",T59))=ISNUMBER(SEARCH("大",T58)),V58+1,1)))</f>
        <v/>
      </c>
      <c r="W59" s="20">
        <f>IF(V59="","",IF(V59&gt;=4,"🚨 "&amp;V59&amp;"期·警惕反转",IF(V59=3,"⚠️ 3期连续","—")))</f>
        <v/>
      </c>
      <c r="X59" s="22">
        <f>IF(T59="","—",IF(ISNUMBER(SEARCH("大",T59)),IF(OR(T59="🔴 全大"),IF(V59&gt;=4,"x大xx 强·⚠️反转?",IF(V59=3,"x大xx 强·连3期","x大xx ✅强用")),"x大xx △弱参考"),IF(OR(T59="🔵 全小"),IF(V59&gt;=4,"x小xx 强·⚠️反转?",IF(V59=3,"x小xx 强·连3期","x小xx ✅强用")),"x小xx △弱参考")))</f>
        <v/>
      </c>
      <c r="Y59" s="3" t="n"/>
      <c r="Z59" s="25">
        <f>IF(D59="","",VALUE(MID(TEXT(D59,"0000"),3,1)))</f>
        <v/>
      </c>
      <c r="AA59" s="25">
        <f>IF(E59="","",VALUE(MID(TEXT(E59,"0000"),3,1)))</f>
        <v/>
      </c>
      <c r="AB59" s="25">
        <f>IF(F59="","",VALUE(MID(TEXT(F59,"0000"),3,1)))</f>
        <v/>
      </c>
      <c r="AC59" s="20">
        <f>IF(D59="","",IF(COUNTIF(Z59:AB59,"&gt;=5")=3,"🔴 全大",IF(COUNTIF(Z59:AB59,"&gt;=5")=0,"🔵 全小",IF(COUNTIF(Z59:AB59,"&gt;=5")=2,"▲ 偏大","▼ 偏小"))))</f>
        <v/>
      </c>
      <c r="AD59" s="20">
        <f>IF(D59="","",IF((MOD(Z59,2)=1)+(MOD(AA59,2)=1)+(MOD(AB59,2)=1)=3,"⚫ 全单",IF((MOD(Z59,2)=1)+(MOD(AA59,2)=1)+(MOD(AB59,2)=1)=0,"🟣 全双",IF((MOD(Z59,2)=1)+(MOD(AA59,2)=1)+(MOD(AB59,2)=1)=2,"◑ 偏单","◑ 偏双"))))</f>
        <v/>
      </c>
      <c r="AE59" s="26">
        <f>IF(D59="","",IF(D58="",1,IF(ISNUMBER(SEARCH("大",AC59))=ISNUMBER(SEARCH("大",AC58)),AE58+1,1)))</f>
        <v/>
      </c>
      <c r="AF59" s="20">
        <f>IF(AE59="","",IF(AE59&gt;=4,"🚨 "&amp;AE59&amp;"期·警惕反转",IF(AE59=3,"⚠️ 3期连续","—")))</f>
        <v/>
      </c>
      <c r="AG59" s="22">
        <f>IF(AC59="","—",IF(ISNUMBER(SEARCH("大",AC59)),IF(OR(AC59="🔴 全大"),IF(AE59&gt;=4,"xx大x 强·⚠️反转?",IF(AE59=3,"xx大x 强·连3期","xx大x ✅强用")),"xx大x △弱参考"),IF(OR(AC59="🔵 全小"),IF(AE59&gt;=4,"xx小x 强·⚠️反转?",IF(AE59=3,"xx小x 强·连3期","xx小x ✅强用")),"xx小x △弱参考")))</f>
        <v/>
      </c>
      <c r="AH59" s="3" t="n"/>
      <c r="AI59" s="27">
        <f>IF(D59="","",VALUE(MID(TEXT(D59,"0000"),4,1)))</f>
        <v/>
      </c>
      <c r="AJ59" s="27">
        <f>IF(E59="","",VALUE(MID(TEXT(E59,"0000"),4,1)))</f>
        <v/>
      </c>
      <c r="AK59" s="27">
        <f>IF(F59="","",VALUE(MID(TEXT(F59,"0000"),4,1)))</f>
        <v/>
      </c>
      <c r="AL59" s="20">
        <f>IF(D59="","",IF(COUNTIF(AI59:AK59,"&gt;=5")=3,"🔴 全大",IF(COUNTIF(AI59:AK59,"&gt;=5")=0,"🔵 全小",IF(COUNTIF(AI59:AK59,"&gt;=5")=2,"▲ 偏大","▼ 偏小"))))</f>
        <v/>
      </c>
      <c r="AM59" s="20">
        <f>IF(D59="","",IF((MOD(AI59,2)=1)+(MOD(AJ59,2)=1)+(MOD(AK59,2)=1)=3,"⚫ 全单",IF((MOD(AI59,2)=1)+(MOD(AJ59,2)=1)+(MOD(AK59,2)=1)=0,"🟣 全双",IF((MOD(AI59,2)=1)+(MOD(AJ59,2)=1)+(MOD(AK59,2)=1)=2,"◑ 偏单","◑ 偏双"))))</f>
        <v/>
      </c>
      <c r="AN59" s="28">
        <f>IF(D59="","",IF(D58="",1,IF(ISNUMBER(SEARCH("大",AL59))=ISNUMBER(SEARCH("大",AL58)),AN58+1,1)))</f>
        <v/>
      </c>
      <c r="AO59" s="20">
        <f>IF(AN59="","",IF(AN59&gt;=4,"🚨 "&amp;AN59&amp;"期·警惕反转",IF(AN59=3,"⚠️ 3期连续","—")))</f>
        <v/>
      </c>
      <c r="AP59" s="22">
        <f>IF(AL59="","—",IF(ISNUMBER(SEARCH("大",AL59)),IF(OR(AL59="🔴 全大"),IF(AN59&gt;=4,"xxx大 强·⚠️反转?",IF(AN59=3,"xxx大 强·连3期","xxx大 ✅强用")),"xxx大 △弱参考"),IF(OR(AL59="🔵 全小"),IF(AN59&gt;=4,"xxx小 强·⚠️反转?",IF(AN59=3,"xxx小 强·连3期","xxx小 ✅强用")),"xxx小 △弱参考")))</f>
        <v/>
      </c>
      <c r="AQ59" s="3" t="n"/>
      <c r="AR59" s="20">
        <f>IF(OR(D59="",D58=""),"—",IF(K58="","—",IF(ISNUMBER(SEARCH("大",K58)),IF(COUNTIF(H59:J59,"&gt;=5")&gt;=2,"✅","❌"),IF(COUNTIF(H59:J59,"&gt;=5")&lt;=1,"✅","❌"))))</f>
        <v/>
      </c>
      <c r="AS59" s="20">
        <f>IF(OR(D59="",D58=""),"—",IF(T58="","—",IF(ISNUMBER(SEARCH("大",T58)),IF(COUNTIF(Q59:S59,"&gt;=5")&gt;=2,"✅","❌"),IF(COUNTIF(Q59:S59,"&gt;=5")&lt;=1,"✅","❌"))))</f>
        <v/>
      </c>
      <c r="AT59" s="20">
        <f>IF(OR(D59="",D58=""),"—",IF(AC58="","—",IF(ISNUMBER(SEARCH("大",AC58)),IF(COUNTIF(Z59:AB59,"&gt;=5")&gt;=2,"✅","❌"),IF(COUNTIF(Z59:AB59,"&gt;=5")&lt;=1,"✅","❌"))))</f>
        <v/>
      </c>
      <c r="AU59" s="20">
        <f>IF(OR(D59="",D58=""),"—",IF(AL58="","—",IF(ISNUMBER(SEARCH("大",AL58)),IF(COUNTIF(AI59:AK59,"&gt;=5")&gt;=2,"✅","❌"),IF(COUNTIF(AI59:AK59,"&gt;=5")&lt;=1,"✅","❌"))))</f>
        <v/>
      </c>
      <c r="AW59" s="30" t="n"/>
    </row>
    <row r="60" ht="18" customHeight="1">
      <c r="A60" s="16" t="n">
        <v>56</v>
      </c>
      <c r="B60" s="116" t="n"/>
      <c r="C60" s="40" t="n"/>
      <c r="D60" s="117" t="n"/>
      <c r="E60" s="117" t="n"/>
      <c r="F60" s="117" t="n"/>
      <c r="G60" s="3" t="n"/>
      <c r="H60" s="19">
        <f>IF(D60="","",VALUE(MID(TEXT(D60,"0000"),1,1)))</f>
        <v/>
      </c>
      <c r="I60" s="19">
        <f>IF(E60="","",VALUE(MID(TEXT(E60,"0000"),1,1)))</f>
        <v/>
      </c>
      <c r="J60" s="19">
        <f>IF(F60="","",VALUE(MID(TEXT(F60,"0000"),1,1)))</f>
        <v/>
      </c>
      <c r="K60" s="31">
        <f>IF(D60="","",IF(COUNTIF(H60:J60,"&gt;=5")=3,"🔴 全大",IF(COUNTIF(H60:J60,"&gt;=5")=0,"🔵 全小",IF(COUNTIF(H60:J60,"&gt;=5")=2,"▲ 偏大","▼ 偏小"))))</f>
        <v/>
      </c>
      <c r="L60" s="31">
        <f>IF(D60="","",IF((MOD(H60,2)=1)+(MOD(I60,2)=1)+(MOD(J60,2)=1)=3,"⚫ 全单",IF((MOD(H60,2)=1)+(MOD(I60,2)=1)+(MOD(J60,2)=1)=0,"🟣 全双",IF((MOD(H60,2)=1)+(MOD(I60,2)=1)+(MOD(J60,2)=1)=2,"◑ 偏单","◑ 偏双"))))</f>
        <v/>
      </c>
      <c r="M60" s="32">
        <f>IF(D60="","",IF(D59="",1,IF(ISNUMBER(SEARCH("大",K60))=ISNUMBER(SEARCH("大",K59)),M59+1,1)))</f>
        <v/>
      </c>
      <c r="N60" s="31">
        <f>IF(M60="","",IF(M60&gt;=4,"🚨 "&amp;M60&amp;"期·警惕反转",IF(M60=3,"⚠️ 3期连续","—")))</f>
        <v/>
      </c>
      <c r="O60" s="22">
        <f>IF(K60="","—",IF(ISNUMBER(SEARCH("大",K60)),IF(OR(K60="🔴 全大"),IF(M60&gt;=4,"大xxx 强·⚠️反转?",IF(M60=3,"大xxx 强·连3期","大xxx ✅强用")),"大xxx △弱参考"),IF(OR(K60="🔵 全小"),IF(M60&gt;=4,"小xxx 强·⚠️反转?",IF(M60=3,"小xxx 强·连3期","小xxx ✅强用")),"小xxx △弱参考")))</f>
        <v/>
      </c>
      <c r="P60" s="3" t="n"/>
      <c r="Q60" s="23">
        <f>IF(D60="","",VALUE(MID(TEXT(D60,"0000"),2,1)))</f>
        <v/>
      </c>
      <c r="R60" s="23">
        <f>IF(E60="","",VALUE(MID(TEXT(E60,"0000"),2,1)))</f>
        <v/>
      </c>
      <c r="S60" s="23">
        <f>IF(F60="","",VALUE(MID(TEXT(F60,"0000"),2,1)))</f>
        <v/>
      </c>
      <c r="T60" s="31">
        <f>IF(D60="","",IF(COUNTIF(Q60:S60,"&gt;=5")=3,"🔴 全大",IF(COUNTIF(Q60:S60,"&gt;=5")=0,"🔵 全小",IF(COUNTIF(Q60:S60,"&gt;=5")=2,"▲ 偏大","▼ 偏小"))))</f>
        <v/>
      </c>
      <c r="U60" s="31">
        <f>IF(D60="","",IF((MOD(Q60,2)=1)+(MOD(R60,2)=1)+(MOD(S60,2)=1)=3,"⚫ 全单",IF((MOD(Q60,2)=1)+(MOD(R60,2)=1)+(MOD(S60,2)=1)=0,"🟣 全双",IF((MOD(Q60,2)=1)+(MOD(R60,2)=1)+(MOD(S60,2)=1)=2,"◑ 偏单","◑ 偏双"))))</f>
        <v/>
      </c>
      <c r="V60" s="33">
        <f>IF(D60="","",IF(D59="",1,IF(ISNUMBER(SEARCH("大",T60))=ISNUMBER(SEARCH("大",T59)),V59+1,1)))</f>
        <v/>
      </c>
      <c r="W60" s="31">
        <f>IF(V60="","",IF(V60&gt;=4,"🚨 "&amp;V60&amp;"期·警惕反转",IF(V60=3,"⚠️ 3期连续","—")))</f>
        <v/>
      </c>
      <c r="X60" s="22">
        <f>IF(T60="","—",IF(ISNUMBER(SEARCH("大",T60)),IF(OR(T60="🔴 全大"),IF(V60&gt;=4,"x大xx 强·⚠️反转?",IF(V60=3,"x大xx 强·连3期","x大xx ✅强用")),"x大xx △弱参考"),IF(OR(T60="🔵 全小"),IF(V60&gt;=4,"x小xx 强·⚠️反转?",IF(V60=3,"x小xx 强·连3期","x小xx ✅强用")),"x小xx △弱参考")))</f>
        <v/>
      </c>
      <c r="Y60" s="3" t="n"/>
      <c r="Z60" s="25">
        <f>IF(D60="","",VALUE(MID(TEXT(D60,"0000"),3,1)))</f>
        <v/>
      </c>
      <c r="AA60" s="25">
        <f>IF(E60="","",VALUE(MID(TEXT(E60,"0000"),3,1)))</f>
        <v/>
      </c>
      <c r="AB60" s="25">
        <f>IF(F60="","",VALUE(MID(TEXT(F60,"0000"),3,1)))</f>
        <v/>
      </c>
      <c r="AC60" s="31">
        <f>IF(D60="","",IF(COUNTIF(Z60:AB60,"&gt;=5")=3,"🔴 全大",IF(COUNTIF(Z60:AB60,"&gt;=5")=0,"🔵 全小",IF(COUNTIF(Z60:AB60,"&gt;=5")=2,"▲ 偏大","▼ 偏小"))))</f>
        <v/>
      </c>
      <c r="AD60" s="31">
        <f>IF(D60="","",IF((MOD(Z60,2)=1)+(MOD(AA60,2)=1)+(MOD(AB60,2)=1)=3,"⚫ 全单",IF((MOD(Z60,2)=1)+(MOD(AA60,2)=1)+(MOD(AB60,2)=1)=0,"🟣 全双",IF((MOD(Z60,2)=1)+(MOD(AA60,2)=1)+(MOD(AB60,2)=1)=2,"◑ 偏单","◑ 偏双"))))</f>
        <v/>
      </c>
      <c r="AE60" s="34">
        <f>IF(D60="","",IF(D59="",1,IF(ISNUMBER(SEARCH("大",AC60))=ISNUMBER(SEARCH("大",AC59)),AE59+1,1)))</f>
        <v/>
      </c>
      <c r="AF60" s="31">
        <f>IF(AE60="","",IF(AE60&gt;=4,"🚨 "&amp;AE60&amp;"期·警惕反转",IF(AE60=3,"⚠️ 3期连续","—")))</f>
        <v/>
      </c>
      <c r="AG60" s="22">
        <f>IF(AC60="","—",IF(ISNUMBER(SEARCH("大",AC60)),IF(OR(AC60="🔴 全大"),IF(AE60&gt;=4,"xx大x 强·⚠️反转?",IF(AE60=3,"xx大x 强·连3期","xx大x ✅强用")),"xx大x △弱参考"),IF(OR(AC60="🔵 全小"),IF(AE60&gt;=4,"xx小x 强·⚠️反转?",IF(AE60=3,"xx小x 强·连3期","xx小x ✅强用")),"xx小x △弱参考")))</f>
        <v/>
      </c>
      <c r="AH60" s="3" t="n"/>
      <c r="AI60" s="27">
        <f>IF(D60="","",VALUE(MID(TEXT(D60,"0000"),4,1)))</f>
        <v/>
      </c>
      <c r="AJ60" s="27">
        <f>IF(E60="","",VALUE(MID(TEXT(E60,"0000"),4,1)))</f>
        <v/>
      </c>
      <c r="AK60" s="27">
        <f>IF(F60="","",VALUE(MID(TEXT(F60,"0000"),4,1)))</f>
        <v/>
      </c>
      <c r="AL60" s="31">
        <f>IF(D60="","",IF(COUNTIF(AI60:AK60,"&gt;=5")=3,"🔴 全大",IF(COUNTIF(AI60:AK60,"&gt;=5")=0,"🔵 全小",IF(COUNTIF(AI60:AK60,"&gt;=5")=2,"▲ 偏大","▼ 偏小"))))</f>
        <v/>
      </c>
      <c r="AM60" s="31">
        <f>IF(D60="","",IF((MOD(AI60,2)=1)+(MOD(AJ60,2)=1)+(MOD(AK60,2)=1)=3,"⚫ 全单",IF((MOD(AI60,2)=1)+(MOD(AJ60,2)=1)+(MOD(AK60,2)=1)=0,"🟣 全双",IF((MOD(AI60,2)=1)+(MOD(AJ60,2)=1)+(MOD(AK60,2)=1)=2,"◑ 偏单","◑ 偏双"))))</f>
        <v/>
      </c>
      <c r="AN60" s="35">
        <f>IF(D60="","",IF(D59="",1,IF(ISNUMBER(SEARCH("大",AL60))=ISNUMBER(SEARCH("大",AL59)),AN59+1,1)))</f>
        <v/>
      </c>
      <c r="AO60" s="31">
        <f>IF(AN60="","",IF(AN60&gt;=4,"🚨 "&amp;AN60&amp;"期·警惕反转",IF(AN60=3,"⚠️ 3期连续","—")))</f>
        <v/>
      </c>
      <c r="AP60" s="22">
        <f>IF(AL60="","—",IF(ISNUMBER(SEARCH("大",AL60)),IF(OR(AL60="🔴 全大"),IF(AN60&gt;=4,"xxx大 强·⚠️反转?",IF(AN60=3,"xxx大 强·连3期","xxx大 ✅强用")),"xxx大 △弱参考"),IF(OR(AL60="🔵 全小"),IF(AN60&gt;=4,"xxx小 强·⚠️反转?",IF(AN60=3,"xxx小 强·连3期","xxx小 ✅强用")),"xxx小 △弱参考")))</f>
        <v/>
      </c>
      <c r="AQ60" s="3" t="n"/>
      <c r="AR60" s="31">
        <f>IF(OR(D60="",D59=""),"—",IF(K59="","—",IF(ISNUMBER(SEARCH("大",K59)),IF(COUNTIF(H60:J60,"&gt;=5")&gt;=2,"✅","❌"),IF(COUNTIF(H60:J60,"&gt;=5")&lt;=1,"✅","❌"))))</f>
        <v/>
      </c>
      <c r="AS60" s="31">
        <f>IF(OR(D60="",D59=""),"—",IF(T59="","—",IF(ISNUMBER(SEARCH("大",T59)),IF(COUNTIF(Q60:S60,"&gt;=5")&gt;=2,"✅","❌"),IF(COUNTIF(Q60:S60,"&gt;=5")&lt;=1,"✅","❌"))))</f>
        <v/>
      </c>
      <c r="AT60" s="31">
        <f>IF(OR(D60="",D59=""),"—",IF(AC59="","—",IF(ISNUMBER(SEARCH("大",AC59)),IF(COUNTIF(Z60:AB60,"&gt;=5")&gt;=2,"✅","❌"),IF(COUNTIF(Z60:AB60,"&gt;=5")&lt;=1,"✅","❌"))))</f>
        <v/>
      </c>
      <c r="AU60" s="31">
        <f>IF(OR(D60="",D59=""),"—",IF(AL59="","—",IF(ISNUMBER(SEARCH("大",AL59)),IF(COUNTIF(AI60:AK60,"&gt;=5")&gt;=2,"✅","❌"),IF(COUNTIF(AI60:AK60,"&gt;=5")&lt;=1,"✅","❌"))))</f>
        <v/>
      </c>
      <c r="AW60" s="36" t="n"/>
    </row>
    <row r="61" ht="18" customHeight="1">
      <c r="A61" s="16" t="n">
        <v>57</v>
      </c>
      <c r="B61" s="114" t="n"/>
      <c r="C61" s="18" t="n"/>
      <c r="D61" s="115" t="n"/>
      <c r="E61" s="115" t="n"/>
      <c r="F61" s="115" t="n"/>
      <c r="G61" s="3" t="n"/>
      <c r="H61" s="19">
        <f>IF(D61="","",VALUE(MID(TEXT(D61,"0000"),1,1)))</f>
        <v/>
      </c>
      <c r="I61" s="19">
        <f>IF(E61="","",VALUE(MID(TEXT(E61,"0000"),1,1)))</f>
        <v/>
      </c>
      <c r="J61" s="19">
        <f>IF(F61="","",VALUE(MID(TEXT(F61,"0000"),1,1)))</f>
        <v/>
      </c>
      <c r="K61" s="20">
        <f>IF(D61="","",IF(COUNTIF(H61:J61,"&gt;=5")=3,"🔴 全大",IF(COUNTIF(H61:J61,"&gt;=5")=0,"🔵 全小",IF(COUNTIF(H61:J61,"&gt;=5")=2,"▲ 偏大","▼ 偏小"))))</f>
        <v/>
      </c>
      <c r="L61" s="20">
        <f>IF(D61="","",IF((MOD(H61,2)=1)+(MOD(I61,2)=1)+(MOD(J61,2)=1)=3,"⚫ 全单",IF((MOD(H61,2)=1)+(MOD(I61,2)=1)+(MOD(J61,2)=1)=0,"🟣 全双",IF((MOD(H61,2)=1)+(MOD(I61,2)=1)+(MOD(J61,2)=1)=2,"◑ 偏单","◑ 偏双"))))</f>
        <v/>
      </c>
      <c r="M61" s="21">
        <f>IF(D61="","",IF(D60="",1,IF(ISNUMBER(SEARCH("大",K61))=ISNUMBER(SEARCH("大",K60)),M60+1,1)))</f>
        <v/>
      </c>
      <c r="N61" s="20">
        <f>IF(M61="","",IF(M61&gt;=4,"🚨 "&amp;M61&amp;"期·警惕反转",IF(M61=3,"⚠️ 3期连续","—")))</f>
        <v/>
      </c>
      <c r="O61" s="22">
        <f>IF(K61="","—",IF(ISNUMBER(SEARCH("大",K61)),IF(OR(K61="🔴 全大"),IF(M61&gt;=4,"大xxx 强·⚠️反转?",IF(M61=3,"大xxx 强·连3期","大xxx ✅强用")),"大xxx △弱参考"),IF(OR(K61="🔵 全小"),IF(M61&gt;=4,"小xxx 强·⚠️反转?",IF(M61=3,"小xxx 强·连3期","小xxx ✅强用")),"小xxx △弱参考")))</f>
        <v/>
      </c>
      <c r="P61" s="3" t="n"/>
      <c r="Q61" s="23">
        <f>IF(D61="","",VALUE(MID(TEXT(D61,"0000"),2,1)))</f>
        <v/>
      </c>
      <c r="R61" s="23">
        <f>IF(E61="","",VALUE(MID(TEXT(E61,"0000"),2,1)))</f>
        <v/>
      </c>
      <c r="S61" s="23">
        <f>IF(F61="","",VALUE(MID(TEXT(F61,"0000"),2,1)))</f>
        <v/>
      </c>
      <c r="T61" s="20">
        <f>IF(D61="","",IF(COUNTIF(Q61:S61,"&gt;=5")=3,"🔴 全大",IF(COUNTIF(Q61:S61,"&gt;=5")=0,"🔵 全小",IF(COUNTIF(Q61:S61,"&gt;=5")=2,"▲ 偏大","▼ 偏小"))))</f>
        <v/>
      </c>
      <c r="U61" s="20">
        <f>IF(D61="","",IF((MOD(Q61,2)=1)+(MOD(R61,2)=1)+(MOD(S61,2)=1)=3,"⚫ 全单",IF((MOD(Q61,2)=1)+(MOD(R61,2)=1)+(MOD(S61,2)=1)=0,"🟣 全双",IF((MOD(Q61,2)=1)+(MOD(R61,2)=1)+(MOD(S61,2)=1)=2,"◑ 偏单","◑ 偏双"))))</f>
        <v/>
      </c>
      <c r="V61" s="24">
        <f>IF(D61="","",IF(D60="",1,IF(ISNUMBER(SEARCH("大",T61))=ISNUMBER(SEARCH("大",T60)),V60+1,1)))</f>
        <v/>
      </c>
      <c r="W61" s="20">
        <f>IF(V61="","",IF(V61&gt;=4,"🚨 "&amp;V61&amp;"期·警惕反转",IF(V61=3,"⚠️ 3期连续","—")))</f>
        <v/>
      </c>
      <c r="X61" s="22">
        <f>IF(T61="","—",IF(ISNUMBER(SEARCH("大",T61)),IF(OR(T61="🔴 全大"),IF(V61&gt;=4,"x大xx 强·⚠️反转?",IF(V61=3,"x大xx 强·连3期","x大xx ✅强用")),"x大xx △弱参考"),IF(OR(T61="🔵 全小"),IF(V61&gt;=4,"x小xx 强·⚠️反转?",IF(V61=3,"x小xx 强·连3期","x小xx ✅强用")),"x小xx △弱参考")))</f>
        <v/>
      </c>
      <c r="Y61" s="3" t="n"/>
      <c r="Z61" s="25">
        <f>IF(D61="","",VALUE(MID(TEXT(D61,"0000"),3,1)))</f>
        <v/>
      </c>
      <c r="AA61" s="25">
        <f>IF(E61="","",VALUE(MID(TEXT(E61,"0000"),3,1)))</f>
        <v/>
      </c>
      <c r="AB61" s="25">
        <f>IF(F61="","",VALUE(MID(TEXT(F61,"0000"),3,1)))</f>
        <v/>
      </c>
      <c r="AC61" s="20">
        <f>IF(D61="","",IF(COUNTIF(Z61:AB61,"&gt;=5")=3,"🔴 全大",IF(COUNTIF(Z61:AB61,"&gt;=5")=0,"🔵 全小",IF(COUNTIF(Z61:AB61,"&gt;=5")=2,"▲ 偏大","▼ 偏小"))))</f>
        <v/>
      </c>
      <c r="AD61" s="20">
        <f>IF(D61="","",IF((MOD(Z61,2)=1)+(MOD(AA61,2)=1)+(MOD(AB61,2)=1)=3,"⚫ 全单",IF((MOD(Z61,2)=1)+(MOD(AA61,2)=1)+(MOD(AB61,2)=1)=0,"🟣 全双",IF((MOD(Z61,2)=1)+(MOD(AA61,2)=1)+(MOD(AB61,2)=1)=2,"◑ 偏单","◑ 偏双"))))</f>
        <v/>
      </c>
      <c r="AE61" s="26">
        <f>IF(D61="","",IF(D60="",1,IF(ISNUMBER(SEARCH("大",AC61))=ISNUMBER(SEARCH("大",AC60)),AE60+1,1)))</f>
        <v/>
      </c>
      <c r="AF61" s="20">
        <f>IF(AE61="","",IF(AE61&gt;=4,"🚨 "&amp;AE61&amp;"期·警惕反转",IF(AE61=3,"⚠️ 3期连续","—")))</f>
        <v/>
      </c>
      <c r="AG61" s="22">
        <f>IF(AC61="","—",IF(ISNUMBER(SEARCH("大",AC61)),IF(OR(AC61="🔴 全大"),IF(AE61&gt;=4,"xx大x 强·⚠️反转?",IF(AE61=3,"xx大x 强·连3期","xx大x ✅强用")),"xx大x △弱参考"),IF(OR(AC61="🔵 全小"),IF(AE61&gt;=4,"xx小x 强·⚠️反转?",IF(AE61=3,"xx小x 强·连3期","xx小x ✅强用")),"xx小x △弱参考")))</f>
        <v/>
      </c>
      <c r="AH61" s="3" t="n"/>
      <c r="AI61" s="27">
        <f>IF(D61="","",VALUE(MID(TEXT(D61,"0000"),4,1)))</f>
        <v/>
      </c>
      <c r="AJ61" s="27">
        <f>IF(E61="","",VALUE(MID(TEXT(E61,"0000"),4,1)))</f>
        <v/>
      </c>
      <c r="AK61" s="27">
        <f>IF(F61="","",VALUE(MID(TEXT(F61,"0000"),4,1)))</f>
        <v/>
      </c>
      <c r="AL61" s="20">
        <f>IF(D61="","",IF(COUNTIF(AI61:AK61,"&gt;=5")=3,"🔴 全大",IF(COUNTIF(AI61:AK61,"&gt;=5")=0,"🔵 全小",IF(COUNTIF(AI61:AK61,"&gt;=5")=2,"▲ 偏大","▼ 偏小"))))</f>
        <v/>
      </c>
      <c r="AM61" s="20">
        <f>IF(D61="","",IF((MOD(AI61,2)=1)+(MOD(AJ61,2)=1)+(MOD(AK61,2)=1)=3,"⚫ 全单",IF((MOD(AI61,2)=1)+(MOD(AJ61,2)=1)+(MOD(AK61,2)=1)=0,"🟣 全双",IF((MOD(AI61,2)=1)+(MOD(AJ61,2)=1)+(MOD(AK61,2)=1)=2,"◑ 偏单","◑ 偏双"))))</f>
        <v/>
      </c>
      <c r="AN61" s="28">
        <f>IF(D61="","",IF(D60="",1,IF(ISNUMBER(SEARCH("大",AL61))=ISNUMBER(SEARCH("大",AL60)),AN60+1,1)))</f>
        <v/>
      </c>
      <c r="AO61" s="20">
        <f>IF(AN61="","",IF(AN61&gt;=4,"🚨 "&amp;AN61&amp;"期·警惕反转",IF(AN61=3,"⚠️ 3期连续","—")))</f>
        <v/>
      </c>
      <c r="AP61" s="22">
        <f>IF(AL61="","—",IF(ISNUMBER(SEARCH("大",AL61)),IF(OR(AL61="🔴 全大"),IF(AN61&gt;=4,"xxx大 强·⚠️反转?",IF(AN61=3,"xxx大 强·连3期","xxx大 ✅强用")),"xxx大 △弱参考"),IF(OR(AL61="🔵 全小"),IF(AN61&gt;=4,"xxx小 强·⚠️反转?",IF(AN61=3,"xxx小 强·连3期","xxx小 ✅强用")),"xxx小 △弱参考")))</f>
        <v/>
      </c>
      <c r="AQ61" s="3" t="n"/>
      <c r="AR61" s="20">
        <f>IF(OR(D61="",D60=""),"—",IF(K60="","—",IF(ISNUMBER(SEARCH("大",K60)),IF(COUNTIF(H61:J61,"&gt;=5")&gt;=2,"✅","❌"),IF(COUNTIF(H61:J61,"&gt;=5")&lt;=1,"✅","❌"))))</f>
        <v/>
      </c>
      <c r="AS61" s="20">
        <f>IF(OR(D61="",D60=""),"—",IF(T60="","—",IF(ISNUMBER(SEARCH("大",T60)),IF(COUNTIF(Q61:S61,"&gt;=5")&gt;=2,"✅","❌"),IF(COUNTIF(Q61:S61,"&gt;=5")&lt;=1,"✅","❌"))))</f>
        <v/>
      </c>
      <c r="AT61" s="20">
        <f>IF(OR(D61="",D60=""),"—",IF(AC60="","—",IF(ISNUMBER(SEARCH("大",AC60)),IF(COUNTIF(Z61:AB61,"&gt;=5")&gt;=2,"✅","❌"),IF(COUNTIF(Z61:AB61,"&gt;=5")&lt;=1,"✅","❌"))))</f>
        <v/>
      </c>
      <c r="AU61" s="20">
        <f>IF(OR(D61="",D60=""),"—",IF(AL60="","—",IF(ISNUMBER(SEARCH("大",AL60)),IF(COUNTIF(AI61:AK61,"&gt;=5")&gt;=2,"✅","❌"),IF(COUNTIF(AI61:AK61,"&gt;=5")&lt;=1,"✅","❌"))))</f>
        <v/>
      </c>
      <c r="AW61" s="30" t="n"/>
    </row>
    <row r="62" ht="18" customHeight="1">
      <c r="A62" s="16" t="n">
        <v>58</v>
      </c>
      <c r="B62" s="116" t="n"/>
      <c r="C62" s="40" t="n"/>
      <c r="D62" s="117" t="n"/>
      <c r="E62" s="117" t="n"/>
      <c r="F62" s="117" t="n"/>
      <c r="G62" s="3" t="n"/>
      <c r="H62" s="19">
        <f>IF(D62="","",VALUE(MID(TEXT(D62,"0000"),1,1)))</f>
        <v/>
      </c>
      <c r="I62" s="19">
        <f>IF(E62="","",VALUE(MID(TEXT(E62,"0000"),1,1)))</f>
        <v/>
      </c>
      <c r="J62" s="19">
        <f>IF(F62="","",VALUE(MID(TEXT(F62,"0000"),1,1)))</f>
        <v/>
      </c>
      <c r="K62" s="31">
        <f>IF(D62="","",IF(COUNTIF(H62:J62,"&gt;=5")=3,"🔴 全大",IF(COUNTIF(H62:J62,"&gt;=5")=0,"🔵 全小",IF(COUNTIF(H62:J62,"&gt;=5")=2,"▲ 偏大","▼ 偏小"))))</f>
        <v/>
      </c>
      <c r="L62" s="31">
        <f>IF(D62="","",IF((MOD(H62,2)=1)+(MOD(I62,2)=1)+(MOD(J62,2)=1)=3,"⚫ 全单",IF((MOD(H62,2)=1)+(MOD(I62,2)=1)+(MOD(J62,2)=1)=0,"🟣 全双",IF((MOD(H62,2)=1)+(MOD(I62,2)=1)+(MOD(J62,2)=1)=2,"◑ 偏单","◑ 偏双"))))</f>
        <v/>
      </c>
      <c r="M62" s="32">
        <f>IF(D62="","",IF(D61="",1,IF(ISNUMBER(SEARCH("大",K62))=ISNUMBER(SEARCH("大",K61)),M61+1,1)))</f>
        <v/>
      </c>
      <c r="N62" s="31">
        <f>IF(M62="","",IF(M62&gt;=4,"🚨 "&amp;M62&amp;"期·警惕反转",IF(M62=3,"⚠️ 3期连续","—")))</f>
        <v/>
      </c>
      <c r="O62" s="22">
        <f>IF(K62="","—",IF(ISNUMBER(SEARCH("大",K62)),IF(OR(K62="🔴 全大"),IF(M62&gt;=4,"大xxx 强·⚠️反转?",IF(M62=3,"大xxx 强·连3期","大xxx ✅强用")),"大xxx △弱参考"),IF(OR(K62="🔵 全小"),IF(M62&gt;=4,"小xxx 强·⚠️反转?",IF(M62=3,"小xxx 强·连3期","小xxx ✅强用")),"小xxx △弱参考")))</f>
        <v/>
      </c>
      <c r="P62" s="3" t="n"/>
      <c r="Q62" s="23">
        <f>IF(D62="","",VALUE(MID(TEXT(D62,"0000"),2,1)))</f>
        <v/>
      </c>
      <c r="R62" s="23">
        <f>IF(E62="","",VALUE(MID(TEXT(E62,"0000"),2,1)))</f>
        <v/>
      </c>
      <c r="S62" s="23">
        <f>IF(F62="","",VALUE(MID(TEXT(F62,"0000"),2,1)))</f>
        <v/>
      </c>
      <c r="T62" s="31">
        <f>IF(D62="","",IF(COUNTIF(Q62:S62,"&gt;=5")=3,"🔴 全大",IF(COUNTIF(Q62:S62,"&gt;=5")=0,"🔵 全小",IF(COUNTIF(Q62:S62,"&gt;=5")=2,"▲ 偏大","▼ 偏小"))))</f>
        <v/>
      </c>
      <c r="U62" s="31">
        <f>IF(D62="","",IF((MOD(Q62,2)=1)+(MOD(R62,2)=1)+(MOD(S62,2)=1)=3,"⚫ 全单",IF((MOD(Q62,2)=1)+(MOD(R62,2)=1)+(MOD(S62,2)=1)=0,"🟣 全双",IF((MOD(Q62,2)=1)+(MOD(R62,2)=1)+(MOD(S62,2)=1)=2,"◑ 偏单","◑ 偏双"))))</f>
        <v/>
      </c>
      <c r="V62" s="33">
        <f>IF(D62="","",IF(D61="",1,IF(ISNUMBER(SEARCH("大",T62))=ISNUMBER(SEARCH("大",T61)),V61+1,1)))</f>
        <v/>
      </c>
      <c r="W62" s="31">
        <f>IF(V62="","",IF(V62&gt;=4,"🚨 "&amp;V62&amp;"期·警惕反转",IF(V62=3,"⚠️ 3期连续","—")))</f>
        <v/>
      </c>
      <c r="X62" s="22">
        <f>IF(T62="","—",IF(ISNUMBER(SEARCH("大",T62)),IF(OR(T62="🔴 全大"),IF(V62&gt;=4,"x大xx 强·⚠️反转?",IF(V62=3,"x大xx 强·连3期","x大xx ✅强用")),"x大xx △弱参考"),IF(OR(T62="🔵 全小"),IF(V62&gt;=4,"x小xx 强·⚠️反转?",IF(V62=3,"x小xx 强·连3期","x小xx ✅强用")),"x小xx △弱参考")))</f>
        <v/>
      </c>
      <c r="Y62" s="3" t="n"/>
      <c r="Z62" s="25">
        <f>IF(D62="","",VALUE(MID(TEXT(D62,"0000"),3,1)))</f>
        <v/>
      </c>
      <c r="AA62" s="25">
        <f>IF(E62="","",VALUE(MID(TEXT(E62,"0000"),3,1)))</f>
        <v/>
      </c>
      <c r="AB62" s="25">
        <f>IF(F62="","",VALUE(MID(TEXT(F62,"0000"),3,1)))</f>
        <v/>
      </c>
      <c r="AC62" s="31">
        <f>IF(D62="","",IF(COUNTIF(Z62:AB62,"&gt;=5")=3,"🔴 全大",IF(COUNTIF(Z62:AB62,"&gt;=5")=0,"🔵 全小",IF(COUNTIF(Z62:AB62,"&gt;=5")=2,"▲ 偏大","▼ 偏小"))))</f>
        <v/>
      </c>
      <c r="AD62" s="31">
        <f>IF(D62="","",IF((MOD(Z62,2)=1)+(MOD(AA62,2)=1)+(MOD(AB62,2)=1)=3,"⚫ 全单",IF((MOD(Z62,2)=1)+(MOD(AA62,2)=1)+(MOD(AB62,2)=1)=0,"🟣 全双",IF((MOD(Z62,2)=1)+(MOD(AA62,2)=1)+(MOD(AB62,2)=1)=2,"◑ 偏单","◑ 偏双"))))</f>
        <v/>
      </c>
      <c r="AE62" s="34">
        <f>IF(D62="","",IF(D61="",1,IF(ISNUMBER(SEARCH("大",AC62))=ISNUMBER(SEARCH("大",AC61)),AE61+1,1)))</f>
        <v/>
      </c>
      <c r="AF62" s="31">
        <f>IF(AE62="","",IF(AE62&gt;=4,"🚨 "&amp;AE62&amp;"期·警惕反转",IF(AE62=3,"⚠️ 3期连续","—")))</f>
        <v/>
      </c>
      <c r="AG62" s="22">
        <f>IF(AC62="","—",IF(ISNUMBER(SEARCH("大",AC62)),IF(OR(AC62="🔴 全大"),IF(AE62&gt;=4,"xx大x 强·⚠️反转?",IF(AE62=3,"xx大x 强·连3期","xx大x ✅强用")),"xx大x △弱参考"),IF(OR(AC62="🔵 全小"),IF(AE62&gt;=4,"xx小x 强·⚠️反转?",IF(AE62=3,"xx小x 强·连3期","xx小x ✅强用")),"xx小x △弱参考")))</f>
        <v/>
      </c>
      <c r="AH62" s="3" t="n"/>
      <c r="AI62" s="27">
        <f>IF(D62="","",VALUE(MID(TEXT(D62,"0000"),4,1)))</f>
        <v/>
      </c>
      <c r="AJ62" s="27">
        <f>IF(E62="","",VALUE(MID(TEXT(E62,"0000"),4,1)))</f>
        <v/>
      </c>
      <c r="AK62" s="27">
        <f>IF(F62="","",VALUE(MID(TEXT(F62,"0000"),4,1)))</f>
        <v/>
      </c>
      <c r="AL62" s="31">
        <f>IF(D62="","",IF(COUNTIF(AI62:AK62,"&gt;=5")=3,"🔴 全大",IF(COUNTIF(AI62:AK62,"&gt;=5")=0,"🔵 全小",IF(COUNTIF(AI62:AK62,"&gt;=5")=2,"▲ 偏大","▼ 偏小"))))</f>
        <v/>
      </c>
      <c r="AM62" s="31">
        <f>IF(D62="","",IF((MOD(AI62,2)=1)+(MOD(AJ62,2)=1)+(MOD(AK62,2)=1)=3,"⚫ 全单",IF((MOD(AI62,2)=1)+(MOD(AJ62,2)=1)+(MOD(AK62,2)=1)=0,"🟣 全双",IF((MOD(AI62,2)=1)+(MOD(AJ62,2)=1)+(MOD(AK62,2)=1)=2,"◑ 偏单","◑ 偏双"))))</f>
        <v/>
      </c>
      <c r="AN62" s="35">
        <f>IF(D62="","",IF(D61="",1,IF(ISNUMBER(SEARCH("大",AL62))=ISNUMBER(SEARCH("大",AL61)),AN61+1,1)))</f>
        <v/>
      </c>
      <c r="AO62" s="31">
        <f>IF(AN62="","",IF(AN62&gt;=4,"🚨 "&amp;AN62&amp;"期·警惕反转",IF(AN62=3,"⚠️ 3期连续","—")))</f>
        <v/>
      </c>
      <c r="AP62" s="22">
        <f>IF(AL62="","—",IF(ISNUMBER(SEARCH("大",AL62)),IF(OR(AL62="🔴 全大"),IF(AN62&gt;=4,"xxx大 强·⚠️反转?",IF(AN62=3,"xxx大 强·连3期","xxx大 ✅强用")),"xxx大 △弱参考"),IF(OR(AL62="🔵 全小"),IF(AN62&gt;=4,"xxx小 强·⚠️反转?",IF(AN62=3,"xxx小 强·连3期","xxx小 ✅强用")),"xxx小 △弱参考")))</f>
        <v/>
      </c>
      <c r="AQ62" s="3" t="n"/>
      <c r="AR62" s="31">
        <f>IF(OR(D62="",D61=""),"—",IF(K61="","—",IF(ISNUMBER(SEARCH("大",K61)),IF(COUNTIF(H62:J62,"&gt;=5")&gt;=2,"✅","❌"),IF(COUNTIF(H62:J62,"&gt;=5")&lt;=1,"✅","❌"))))</f>
        <v/>
      </c>
      <c r="AS62" s="31">
        <f>IF(OR(D62="",D61=""),"—",IF(T61="","—",IF(ISNUMBER(SEARCH("大",T61)),IF(COUNTIF(Q62:S62,"&gt;=5")&gt;=2,"✅","❌"),IF(COUNTIF(Q62:S62,"&gt;=5")&lt;=1,"✅","❌"))))</f>
        <v/>
      </c>
      <c r="AT62" s="31">
        <f>IF(OR(D62="",D61=""),"—",IF(AC61="","—",IF(ISNUMBER(SEARCH("大",AC61)),IF(COUNTIF(Z62:AB62,"&gt;=5")&gt;=2,"✅","❌"),IF(COUNTIF(Z62:AB62,"&gt;=5")&lt;=1,"✅","❌"))))</f>
        <v/>
      </c>
      <c r="AU62" s="31">
        <f>IF(OR(D62="",D61=""),"—",IF(AL61="","—",IF(ISNUMBER(SEARCH("大",AL61)),IF(COUNTIF(AI62:AK62,"&gt;=5")&gt;=2,"✅","❌"),IF(COUNTIF(AI62:AK62,"&gt;=5")&lt;=1,"✅","❌"))))</f>
        <v/>
      </c>
      <c r="AW62" s="36" t="n"/>
    </row>
    <row r="63" ht="18" customHeight="1">
      <c r="A63" s="16" t="n">
        <v>59</v>
      </c>
      <c r="B63" s="114" t="n"/>
      <c r="C63" s="18" t="n"/>
      <c r="D63" s="115" t="n"/>
      <c r="E63" s="115" t="n"/>
      <c r="F63" s="115" t="n"/>
      <c r="G63" s="3" t="n"/>
      <c r="H63" s="19">
        <f>IF(D63="","",VALUE(MID(TEXT(D63,"0000"),1,1)))</f>
        <v/>
      </c>
      <c r="I63" s="19">
        <f>IF(E63="","",VALUE(MID(TEXT(E63,"0000"),1,1)))</f>
        <v/>
      </c>
      <c r="J63" s="19">
        <f>IF(F63="","",VALUE(MID(TEXT(F63,"0000"),1,1)))</f>
        <v/>
      </c>
      <c r="K63" s="20">
        <f>IF(D63="","",IF(COUNTIF(H63:J63,"&gt;=5")=3,"🔴 全大",IF(COUNTIF(H63:J63,"&gt;=5")=0,"🔵 全小",IF(COUNTIF(H63:J63,"&gt;=5")=2,"▲ 偏大","▼ 偏小"))))</f>
        <v/>
      </c>
      <c r="L63" s="20">
        <f>IF(D63="","",IF((MOD(H63,2)=1)+(MOD(I63,2)=1)+(MOD(J63,2)=1)=3,"⚫ 全单",IF((MOD(H63,2)=1)+(MOD(I63,2)=1)+(MOD(J63,2)=1)=0,"🟣 全双",IF((MOD(H63,2)=1)+(MOD(I63,2)=1)+(MOD(J63,2)=1)=2,"◑ 偏单","◑ 偏双"))))</f>
        <v/>
      </c>
      <c r="M63" s="21">
        <f>IF(D63="","",IF(D62="",1,IF(ISNUMBER(SEARCH("大",K63))=ISNUMBER(SEARCH("大",K62)),M62+1,1)))</f>
        <v/>
      </c>
      <c r="N63" s="20">
        <f>IF(M63="","",IF(M63&gt;=4,"🚨 "&amp;M63&amp;"期·警惕反转",IF(M63=3,"⚠️ 3期连续","—")))</f>
        <v/>
      </c>
      <c r="O63" s="22">
        <f>IF(K63="","—",IF(ISNUMBER(SEARCH("大",K63)),IF(OR(K63="🔴 全大"),IF(M63&gt;=4,"大xxx 强·⚠️反转?",IF(M63=3,"大xxx 强·连3期","大xxx ✅强用")),"大xxx △弱参考"),IF(OR(K63="🔵 全小"),IF(M63&gt;=4,"小xxx 强·⚠️反转?",IF(M63=3,"小xxx 强·连3期","小xxx ✅强用")),"小xxx △弱参考")))</f>
        <v/>
      </c>
      <c r="P63" s="3" t="n"/>
      <c r="Q63" s="23">
        <f>IF(D63="","",VALUE(MID(TEXT(D63,"0000"),2,1)))</f>
        <v/>
      </c>
      <c r="R63" s="23">
        <f>IF(E63="","",VALUE(MID(TEXT(E63,"0000"),2,1)))</f>
        <v/>
      </c>
      <c r="S63" s="23">
        <f>IF(F63="","",VALUE(MID(TEXT(F63,"0000"),2,1)))</f>
        <v/>
      </c>
      <c r="T63" s="20">
        <f>IF(D63="","",IF(COUNTIF(Q63:S63,"&gt;=5")=3,"🔴 全大",IF(COUNTIF(Q63:S63,"&gt;=5")=0,"🔵 全小",IF(COUNTIF(Q63:S63,"&gt;=5")=2,"▲ 偏大","▼ 偏小"))))</f>
        <v/>
      </c>
      <c r="U63" s="20">
        <f>IF(D63="","",IF((MOD(Q63,2)=1)+(MOD(R63,2)=1)+(MOD(S63,2)=1)=3,"⚫ 全单",IF((MOD(Q63,2)=1)+(MOD(R63,2)=1)+(MOD(S63,2)=1)=0,"🟣 全双",IF((MOD(Q63,2)=1)+(MOD(R63,2)=1)+(MOD(S63,2)=1)=2,"◑ 偏单","◑ 偏双"))))</f>
        <v/>
      </c>
      <c r="V63" s="24">
        <f>IF(D63="","",IF(D62="",1,IF(ISNUMBER(SEARCH("大",T63))=ISNUMBER(SEARCH("大",T62)),V62+1,1)))</f>
        <v/>
      </c>
      <c r="W63" s="20">
        <f>IF(V63="","",IF(V63&gt;=4,"🚨 "&amp;V63&amp;"期·警惕反转",IF(V63=3,"⚠️ 3期连续","—")))</f>
        <v/>
      </c>
      <c r="X63" s="22">
        <f>IF(T63="","—",IF(ISNUMBER(SEARCH("大",T63)),IF(OR(T63="🔴 全大"),IF(V63&gt;=4,"x大xx 强·⚠️反转?",IF(V63=3,"x大xx 强·连3期","x大xx ✅强用")),"x大xx △弱参考"),IF(OR(T63="🔵 全小"),IF(V63&gt;=4,"x小xx 强·⚠️反转?",IF(V63=3,"x小xx 强·连3期","x小xx ✅强用")),"x小xx △弱参考")))</f>
        <v/>
      </c>
      <c r="Y63" s="3" t="n"/>
      <c r="Z63" s="25">
        <f>IF(D63="","",VALUE(MID(TEXT(D63,"0000"),3,1)))</f>
        <v/>
      </c>
      <c r="AA63" s="25">
        <f>IF(E63="","",VALUE(MID(TEXT(E63,"0000"),3,1)))</f>
        <v/>
      </c>
      <c r="AB63" s="25">
        <f>IF(F63="","",VALUE(MID(TEXT(F63,"0000"),3,1)))</f>
        <v/>
      </c>
      <c r="AC63" s="20">
        <f>IF(D63="","",IF(COUNTIF(Z63:AB63,"&gt;=5")=3,"🔴 全大",IF(COUNTIF(Z63:AB63,"&gt;=5")=0,"🔵 全小",IF(COUNTIF(Z63:AB63,"&gt;=5")=2,"▲ 偏大","▼ 偏小"))))</f>
        <v/>
      </c>
      <c r="AD63" s="20">
        <f>IF(D63="","",IF((MOD(Z63,2)=1)+(MOD(AA63,2)=1)+(MOD(AB63,2)=1)=3,"⚫ 全单",IF((MOD(Z63,2)=1)+(MOD(AA63,2)=1)+(MOD(AB63,2)=1)=0,"🟣 全双",IF((MOD(Z63,2)=1)+(MOD(AA63,2)=1)+(MOD(AB63,2)=1)=2,"◑ 偏单","◑ 偏双"))))</f>
        <v/>
      </c>
      <c r="AE63" s="26">
        <f>IF(D63="","",IF(D62="",1,IF(ISNUMBER(SEARCH("大",AC63))=ISNUMBER(SEARCH("大",AC62)),AE62+1,1)))</f>
        <v/>
      </c>
      <c r="AF63" s="20">
        <f>IF(AE63="","",IF(AE63&gt;=4,"🚨 "&amp;AE63&amp;"期·警惕反转",IF(AE63=3,"⚠️ 3期连续","—")))</f>
        <v/>
      </c>
      <c r="AG63" s="22">
        <f>IF(AC63="","—",IF(ISNUMBER(SEARCH("大",AC63)),IF(OR(AC63="🔴 全大"),IF(AE63&gt;=4,"xx大x 强·⚠️反转?",IF(AE63=3,"xx大x 强·连3期","xx大x ✅强用")),"xx大x △弱参考"),IF(OR(AC63="🔵 全小"),IF(AE63&gt;=4,"xx小x 强·⚠️反转?",IF(AE63=3,"xx小x 强·连3期","xx小x ✅强用")),"xx小x △弱参考")))</f>
        <v/>
      </c>
      <c r="AH63" s="3" t="n"/>
      <c r="AI63" s="27">
        <f>IF(D63="","",VALUE(MID(TEXT(D63,"0000"),4,1)))</f>
        <v/>
      </c>
      <c r="AJ63" s="27">
        <f>IF(E63="","",VALUE(MID(TEXT(E63,"0000"),4,1)))</f>
        <v/>
      </c>
      <c r="AK63" s="27">
        <f>IF(F63="","",VALUE(MID(TEXT(F63,"0000"),4,1)))</f>
        <v/>
      </c>
      <c r="AL63" s="20">
        <f>IF(D63="","",IF(COUNTIF(AI63:AK63,"&gt;=5")=3,"🔴 全大",IF(COUNTIF(AI63:AK63,"&gt;=5")=0,"🔵 全小",IF(COUNTIF(AI63:AK63,"&gt;=5")=2,"▲ 偏大","▼ 偏小"))))</f>
        <v/>
      </c>
      <c r="AM63" s="20">
        <f>IF(D63="","",IF((MOD(AI63,2)=1)+(MOD(AJ63,2)=1)+(MOD(AK63,2)=1)=3,"⚫ 全单",IF((MOD(AI63,2)=1)+(MOD(AJ63,2)=1)+(MOD(AK63,2)=1)=0,"🟣 全双",IF((MOD(AI63,2)=1)+(MOD(AJ63,2)=1)+(MOD(AK63,2)=1)=2,"◑ 偏单","◑ 偏双"))))</f>
        <v/>
      </c>
      <c r="AN63" s="28">
        <f>IF(D63="","",IF(D62="",1,IF(ISNUMBER(SEARCH("大",AL63))=ISNUMBER(SEARCH("大",AL62)),AN62+1,1)))</f>
        <v/>
      </c>
      <c r="AO63" s="20">
        <f>IF(AN63="","",IF(AN63&gt;=4,"🚨 "&amp;AN63&amp;"期·警惕反转",IF(AN63=3,"⚠️ 3期连续","—")))</f>
        <v/>
      </c>
      <c r="AP63" s="22">
        <f>IF(AL63="","—",IF(ISNUMBER(SEARCH("大",AL63)),IF(OR(AL63="🔴 全大"),IF(AN63&gt;=4,"xxx大 强·⚠️反转?",IF(AN63=3,"xxx大 强·连3期","xxx大 ✅强用")),"xxx大 △弱参考"),IF(OR(AL63="🔵 全小"),IF(AN63&gt;=4,"xxx小 强·⚠️反转?",IF(AN63=3,"xxx小 强·连3期","xxx小 ✅强用")),"xxx小 △弱参考")))</f>
        <v/>
      </c>
      <c r="AQ63" s="3" t="n"/>
      <c r="AR63" s="20">
        <f>IF(OR(D63="",D62=""),"—",IF(K62="","—",IF(ISNUMBER(SEARCH("大",K62)),IF(COUNTIF(H63:J63,"&gt;=5")&gt;=2,"✅","❌"),IF(COUNTIF(H63:J63,"&gt;=5")&lt;=1,"✅","❌"))))</f>
        <v/>
      </c>
      <c r="AS63" s="20">
        <f>IF(OR(D63="",D62=""),"—",IF(T62="","—",IF(ISNUMBER(SEARCH("大",T62)),IF(COUNTIF(Q63:S63,"&gt;=5")&gt;=2,"✅","❌"),IF(COUNTIF(Q63:S63,"&gt;=5")&lt;=1,"✅","❌"))))</f>
        <v/>
      </c>
      <c r="AT63" s="20">
        <f>IF(OR(D63="",D62=""),"—",IF(AC62="","—",IF(ISNUMBER(SEARCH("大",AC62)),IF(COUNTIF(Z63:AB63,"&gt;=5")&gt;=2,"✅","❌"),IF(COUNTIF(Z63:AB63,"&gt;=5")&lt;=1,"✅","❌"))))</f>
        <v/>
      </c>
      <c r="AU63" s="20">
        <f>IF(OR(D63="",D62=""),"—",IF(AL62="","—",IF(ISNUMBER(SEARCH("大",AL62)),IF(COUNTIF(AI63:AK63,"&gt;=5")&gt;=2,"✅","❌"),IF(COUNTIF(AI63:AK63,"&gt;=5")&lt;=1,"✅","❌"))))</f>
        <v/>
      </c>
      <c r="AW63" s="30" t="n"/>
    </row>
    <row r="64" ht="18" customHeight="1">
      <c r="A64" s="16" t="n">
        <v>60</v>
      </c>
      <c r="B64" s="116" t="n"/>
      <c r="C64" s="40" t="n"/>
      <c r="D64" s="117" t="n"/>
      <c r="E64" s="117" t="n"/>
      <c r="F64" s="117" t="n"/>
      <c r="G64" s="3" t="n"/>
      <c r="H64" s="19">
        <f>IF(D64="","",VALUE(MID(TEXT(D64,"0000"),1,1)))</f>
        <v/>
      </c>
      <c r="I64" s="19">
        <f>IF(E64="","",VALUE(MID(TEXT(E64,"0000"),1,1)))</f>
        <v/>
      </c>
      <c r="J64" s="19">
        <f>IF(F64="","",VALUE(MID(TEXT(F64,"0000"),1,1)))</f>
        <v/>
      </c>
      <c r="K64" s="31">
        <f>IF(D64="","",IF(COUNTIF(H64:J64,"&gt;=5")=3,"🔴 全大",IF(COUNTIF(H64:J64,"&gt;=5")=0,"🔵 全小",IF(COUNTIF(H64:J64,"&gt;=5")=2,"▲ 偏大","▼ 偏小"))))</f>
        <v/>
      </c>
      <c r="L64" s="31">
        <f>IF(D64="","",IF((MOD(H64,2)=1)+(MOD(I64,2)=1)+(MOD(J64,2)=1)=3,"⚫ 全单",IF((MOD(H64,2)=1)+(MOD(I64,2)=1)+(MOD(J64,2)=1)=0,"🟣 全双",IF((MOD(H64,2)=1)+(MOD(I64,2)=1)+(MOD(J64,2)=1)=2,"◑ 偏单","◑ 偏双"))))</f>
        <v/>
      </c>
      <c r="M64" s="32">
        <f>IF(D64="","",IF(D63="",1,IF(ISNUMBER(SEARCH("大",K64))=ISNUMBER(SEARCH("大",K63)),M63+1,1)))</f>
        <v/>
      </c>
      <c r="N64" s="31">
        <f>IF(M64="","",IF(M64&gt;=4,"🚨 "&amp;M64&amp;"期·警惕反转",IF(M64=3,"⚠️ 3期连续","—")))</f>
        <v/>
      </c>
      <c r="O64" s="22">
        <f>IF(K64="","—",IF(ISNUMBER(SEARCH("大",K64)),IF(OR(K64="🔴 全大"),IF(M64&gt;=4,"大xxx 强·⚠️反转?",IF(M64=3,"大xxx 强·连3期","大xxx ✅强用")),"大xxx △弱参考"),IF(OR(K64="🔵 全小"),IF(M64&gt;=4,"小xxx 强·⚠️反转?",IF(M64=3,"小xxx 强·连3期","小xxx ✅强用")),"小xxx △弱参考")))</f>
        <v/>
      </c>
      <c r="P64" s="3" t="n"/>
      <c r="Q64" s="23">
        <f>IF(D64="","",VALUE(MID(TEXT(D64,"0000"),2,1)))</f>
        <v/>
      </c>
      <c r="R64" s="23">
        <f>IF(E64="","",VALUE(MID(TEXT(E64,"0000"),2,1)))</f>
        <v/>
      </c>
      <c r="S64" s="23">
        <f>IF(F64="","",VALUE(MID(TEXT(F64,"0000"),2,1)))</f>
        <v/>
      </c>
      <c r="T64" s="31">
        <f>IF(D64="","",IF(COUNTIF(Q64:S64,"&gt;=5")=3,"🔴 全大",IF(COUNTIF(Q64:S64,"&gt;=5")=0,"🔵 全小",IF(COUNTIF(Q64:S64,"&gt;=5")=2,"▲ 偏大","▼ 偏小"))))</f>
        <v/>
      </c>
      <c r="U64" s="31">
        <f>IF(D64="","",IF((MOD(Q64,2)=1)+(MOD(R64,2)=1)+(MOD(S64,2)=1)=3,"⚫ 全单",IF((MOD(Q64,2)=1)+(MOD(R64,2)=1)+(MOD(S64,2)=1)=0,"🟣 全双",IF((MOD(Q64,2)=1)+(MOD(R64,2)=1)+(MOD(S64,2)=1)=2,"◑ 偏单","◑ 偏双"))))</f>
        <v/>
      </c>
      <c r="V64" s="33">
        <f>IF(D64="","",IF(D63="",1,IF(ISNUMBER(SEARCH("大",T64))=ISNUMBER(SEARCH("大",T63)),V63+1,1)))</f>
        <v/>
      </c>
      <c r="W64" s="31">
        <f>IF(V64="","",IF(V64&gt;=4,"🚨 "&amp;V64&amp;"期·警惕反转",IF(V64=3,"⚠️ 3期连续","—")))</f>
        <v/>
      </c>
      <c r="X64" s="22">
        <f>IF(T64="","—",IF(ISNUMBER(SEARCH("大",T64)),IF(OR(T64="🔴 全大"),IF(V64&gt;=4,"x大xx 强·⚠️反转?",IF(V64=3,"x大xx 强·连3期","x大xx ✅强用")),"x大xx △弱参考"),IF(OR(T64="🔵 全小"),IF(V64&gt;=4,"x小xx 强·⚠️反转?",IF(V64=3,"x小xx 强·连3期","x小xx ✅强用")),"x小xx △弱参考")))</f>
        <v/>
      </c>
      <c r="Y64" s="3" t="n"/>
      <c r="Z64" s="25">
        <f>IF(D64="","",VALUE(MID(TEXT(D64,"0000"),3,1)))</f>
        <v/>
      </c>
      <c r="AA64" s="25">
        <f>IF(E64="","",VALUE(MID(TEXT(E64,"0000"),3,1)))</f>
        <v/>
      </c>
      <c r="AB64" s="25">
        <f>IF(F64="","",VALUE(MID(TEXT(F64,"0000"),3,1)))</f>
        <v/>
      </c>
      <c r="AC64" s="31">
        <f>IF(D64="","",IF(COUNTIF(Z64:AB64,"&gt;=5")=3,"🔴 全大",IF(COUNTIF(Z64:AB64,"&gt;=5")=0,"🔵 全小",IF(COUNTIF(Z64:AB64,"&gt;=5")=2,"▲ 偏大","▼ 偏小"))))</f>
        <v/>
      </c>
      <c r="AD64" s="31">
        <f>IF(D64="","",IF((MOD(Z64,2)=1)+(MOD(AA64,2)=1)+(MOD(AB64,2)=1)=3,"⚫ 全单",IF((MOD(Z64,2)=1)+(MOD(AA64,2)=1)+(MOD(AB64,2)=1)=0,"🟣 全双",IF((MOD(Z64,2)=1)+(MOD(AA64,2)=1)+(MOD(AB64,2)=1)=2,"◑ 偏单","◑ 偏双"))))</f>
        <v/>
      </c>
      <c r="AE64" s="34">
        <f>IF(D64="","",IF(D63="",1,IF(ISNUMBER(SEARCH("大",AC64))=ISNUMBER(SEARCH("大",AC63)),AE63+1,1)))</f>
        <v/>
      </c>
      <c r="AF64" s="31">
        <f>IF(AE64="","",IF(AE64&gt;=4,"🚨 "&amp;AE64&amp;"期·警惕反转",IF(AE64=3,"⚠️ 3期连续","—")))</f>
        <v/>
      </c>
      <c r="AG64" s="22">
        <f>IF(AC64="","—",IF(ISNUMBER(SEARCH("大",AC64)),IF(OR(AC64="🔴 全大"),IF(AE64&gt;=4,"xx大x 强·⚠️反转?",IF(AE64=3,"xx大x 强·连3期","xx大x ✅强用")),"xx大x △弱参考"),IF(OR(AC64="🔵 全小"),IF(AE64&gt;=4,"xx小x 强·⚠️反转?",IF(AE64=3,"xx小x 强·连3期","xx小x ✅强用")),"xx小x △弱参考")))</f>
        <v/>
      </c>
      <c r="AH64" s="3" t="n"/>
      <c r="AI64" s="27">
        <f>IF(D64="","",VALUE(MID(TEXT(D64,"0000"),4,1)))</f>
        <v/>
      </c>
      <c r="AJ64" s="27">
        <f>IF(E64="","",VALUE(MID(TEXT(E64,"0000"),4,1)))</f>
        <v/>
      </c>
      <c r="AK64" s="27">
        <f>IF(F64="","",VALUE(MID(TEXT(F64,"0000"),4,1)))</f>
        <v/>
      </c>
      <c r="AL64" s="31">
        <f>IF(D64="","",IF(COUNTIF(AI64:AK64,"&gt;=5")=3,"🔴 全大",IF(COUNTIF(AI64:AK64,"&gt;=5")=0,"🔵 全小",IF(COUNTIF(AI64:AK64,"&gt;=5")=2,"▲ 偏大","▼ 偏小"))))</f>
        <v/>
      </c>
      <c r="AM64" s="31">
        <f>IF(D64="","",IF((MOD(AI64,2)=1)+(MOD(AJ64,2)=1)+(MOD(AK64,2)=1)=3,"⚫ 全单",IF((MOD(AI64,2)=1)+(MOD(AJ64,2)=1)+(MOD(AK64,2)=1)=0,"🟣 全双",IF((MOD(AI64,2)=1)+(MOD(AJ64,2)=1)+(MOD(AK64,2)=1)=2,"◑ 偏单","◑ 偏双"))))</f>
        <v/>
      </c>
      <c r="AN64" s="35">
        <f>IF(D64="","",IF(D63="",1,IF(ISNUMBER(SEARCH("大",AL64))=ISNUMBER(SEARCH("大",AL63)),AN63+1,1)))</f>
        <v/>
      </c>
      <c r="AO64" s="31">
        <f>IF(AN64="","",IF(AN64&gt;=4,"🚨 "&amp;AN64&amp;"期·警惕反转",IF(AN64=3,"⚠️ 3期连续","—")))</f>
        <v/>
      </c>
      <c r="AP64" s="22">
        <f>IF(AL64="","—",IF(ISNUMBER(SEARCH("大",AL64)),IF(OR(AL64="🔴 全大"),IF(AN64&gt;=4,"xxx大 强·⚠️反转?",IF(AN64=3,"xxx大 强·连3期","xxx大 ✅强用")),"xxx大 △弱参考"),IF(OR(AL64="🔵 全小"),IF(AN64&gt;=4,"xxx小 强·⚠️反转?",IF(AN64=3,"xxx小 强·连3期","xxx小 ✅强用")),"xxx小 △弱参考")))</f>
        <v/>
      </c>
      <c r="AQ64" s="3" t="n"/>
      <c r="AR64" s="31">
        <f>IF(OR(D64="",D63=""),"—",IF(K63="","—",IF(ISNUMBER(SEARCH("大",K63)),IF(COUNTIF(H64:J64,"&gt;=5")&gt;=2,"✅","❌"),IF(COUNTIF(H64:J64,"&gt;=5")&lt;=1,"✅","❌"))))</f>
        <v/>
      </c>
      <c r="AS64" s="31">
        <f>IF(OR(D64="",D63=""),"—",IF(T63="","—",IF(ISNUMBER(SEARCH("大",T63)),IF(COUNTIF(Q64:S64,"&gt;=5")&gt;=2,"✅","❌"),IF(COUNTIF(Q64:S64,"&gt;=5")&lt;=1,"✅","❌"))))</f>
        <v/>
      </c>
      <c r="AT64" s="31">
        <f>IF(OR(D64="",D63=""),"—",IF(AC63="","—",IF(ISNUMBER(SEARCH("大",AC63)),IF(COUNTIF(Z64:AB64,"&gt;=5")&gt;=2,"✅","❌"),IF(COUNTIF(Z64:AB64,"&gt;=5")&lt;=1,"✅","❌"))))</f>
        <v/>
      </c>
      <c r="AU64" s="31">
        <f>IF(OR(D64="",D63=""),"—",IF(AL63="","—",IF(ISNUMBER(SEARCH("大",AL63)),IF(COUNTIF(AI64:AK64,"&gt;=5")&gt;=2,"✅","❌"),IF(COUNTIF(AI64:AK64,"&gt;=5")&lt;=1,"✅","❌"))))</f>
        <v/>
      </c>
      <c r="AW64" s="36" t="n"/>
    </row>
    <row r="67" ht="28" customHeight="1">
      <c r="A67" s="42" t="inlineStr">
        <is>
          <t>📊 各位置信号历史命中率</t>
        </is>
      </c>
    </row>
    <row r="68" ht="20" customHeight="1">
      <c r="A68" s="11" t="inlineStr">
        <is>
          <t>千位</t>
        </is>
      </c>
      <c r="B68" s="126" t="n"/>
      <c r="C68" s="126" t="n"/>
      <c r="D68" s="126" t="n"/>
      <c r="E68" s="127" t="n"/>
      <c r="F68" s="12" t="inlineStr">
        <is>
          <t>百位</t>
        </is>
      </c>
      <c r="G68" s="126" t="n"/>
      <c r="H68" s="126" t="n"/>
      <c r="I68" s="126" t="n"/>
      <c r="J68" s="127" t="n"/>
      <c r="K68" s="13" t="inlineStr">
        <is>
          <t>十位</t>
        </is>
      </c>
      <c r="L68" s="126" t="n"/>
      <c r="M68" s="126" t="n"/>
      <c r="N68" s="126" t="n"/>
      <c r="O68" s="127" t="n"/>
      <c r="P68" s="14" t="inlineStr">
        <is>
          <t>个位</t>
        </is>
      </c>
      <c r="Q68" s="126" t="n"/>
      <c r="R68" s="126" t="n"/>
      <c r="S68" s="126" t="n"/>
      <c r="T68" s="127" t="n"/>
    </row>
    <row r="69" ht="20" customHeight="1">
      <c r="A69" s="43" t="inlineStr">
        <is>
          <t>全大信号</t>
        </is>
      </c>
      <c r="B69" s="44" t="n"/>
      <c r="C69" s="45" t="n"/>
      <c r="D69" s="128">
        <f>IFERROR(COUNTIFS(K5:K67,"🔴 全大",AR6:AR68,"✅")/COUNTIF(K5:K67,"🔴 全大"),0)</f>
        <v/>
      </c>
      <c r="E69" s="129">
        <f>COUNTIF(K5:K67,"🔴 全大")</f>
        <v/>
      </c>
      <c r="F69" s="48" t="inlineStr">
        <is>
          <t>全大信号</t>
        </is>
      </c>
      <c r="G69" s="44" t="n"/>
      <c r="H69" s="45" t="n"/>
      <c r="I69" s="128">
        <f>IFERROR(COUNTIFS(T5:T67,"🔴 全大",AS6:AS68,"✅")/COUNTIF(T5:T67,"🔴 全大"),0)</f>
        <v/>
      </c>
      <c r="J69" s="129">
        <f>COUNTIF(T5:T67,"🔴 全大")</f>
        <v/>
      </c>
      <c r="K69" s="49" t="inlineStr">
        <is>
          <t>全大信号</t>
        </is>
      </c>
      <c r="L69" s="44" t="n"/>
      <c r="M69" s="45" t="n"/>
      <c r="N69" s="128">
        <f>IFERROR(COUNTIFS(AC5:AC67,"🔴 全大",AT6:AT68,"✅")/COUNTIF(AC5:AC67,"🔴 全大"),0)</f>
        <v/>
      </c>
      <c r="O69" s="129">
        <f>COUNTIF(AC5:AC67,"🔴 全大")</f>
        <v/>
      </c>
      <c r="P69" s="50" t="inlineStr">
        <is>
          <t>全大信号</t>
        </is>
      </c>
      <c r="Q69" s="44" t="n"/>
      <c r="R69" s="45" t="n"/>
      <c r="S69" s="128">
        <f>IFERROR(COUNTIFS(AL5:AL67,"🔴 全大",AU6:AU68,"✅")/COUNTIF(AL5:AL67,"🔴 全大"),0)</f>
        <v/>
      </c>
      <c r="T69" s="129">
        <f>COUNTIF(AL5:AL67,"🔴 全大")</f>
        <v/>
      </c>
    </row>
    <row r="70" ht="20" customHeight="1">
      <c r="A70" s="43" t="inlineStr">
        <is>
          <t>全小信号</t>
        </is>
      </c>
      <c r="B70" s="44" t="n"/>
      <c r="C70" s="45" t="n"/>
      <c r="D70" s="128">
        <f>IFERROR(COUNTIFS(K5:K67,"🔵 全小",AR6:AR68,"✅")/COUNTIF(K5:K67,"🔵 全小"),0)</f>
        <v/>
      </c>
      <c r="E70" s="129">
        <f>COUNTIF(K5:K67,"🔵 全小")</f>
        <v/>
      </c>
      <c r="F70" s="48" t="inlineStr">
        <is>
          <t>全小信号</t>
        </is>
      </c>
      <c r="G70" s="44" t="n"/>
      <c r="H70" s="45" t="n"/>
      <c r="I70" s="128">
        <f>IFERROR(COUNTIFS(T5:T67,"🔵 全小",AS6:AS68,"✅")/COUNTIF(T5:T67,"🔵 全小"),0)</f>
        <v/>
      </c>
      <c r="J70" s="129">
        <f>COUNTIF(T5:T67,"🔵 全小")</f>
        <v/>
      </c>
      <c r="K70" s="49" t="inlineStr">
        <is>
          <t>全小信号</t>
        </is>
      </c>
      <c r="L70" s="44" t="n"/>
      <c r="M70" s="45" t="n"/>
      <c r="N70" s="128">
        <f>IFERROR(COUNTIFS(AC5:AC67,"🔵 全小",AT6:AT68,"✅")/COUNTIF(AC5:AC67,"🔵 全小"),0)</f>
        <v/>
      </c>
      <c r="O70" s="129">
        <f>COUNTIF(AC5:AC67,"🔵 全小")</f>
        <v/>
      </c>
      <c r="P70" s="50" t="inlineStr">
        <is>
          <t>全小信号</t>
        </is>
      </c>
      <c r="Q70" s="44" t="n"/>
      <c r="R70" s="45" t="n"/>
      <c r="S70" s="128">
        <f>IFERROR(COUNTIFS(AL5:AL67,"🔵 全小",AU6:AU68,"✅")/COUNTIF(AL5:AL67,"🔵 全小"),0)</f>
        <v/>
      </c>
      <c r="T70" s="129">
        <f>COUNTIF(AL5:AL67,"🔵 全小")</f>
        <v/>
      </c>
    </row>
    <row r="74" ht="22" customHeight="1">
      <c r="A74" s="51" t="inlineStr">
        <is>
          <t>💡 使用方法：填入日期+市场+三奖号码 → 系统自动计算4个位置的大小·单双·连续期数·预警·建议条件。连续≥3期同方向时开始关注反转。</t>
        </is>
      </c>
    </row>
    <row r="75" ht="22" customHeight="1">
      <c r="A75" s="52" t="inlineStr">
        <is>
          <t>⚠️  只有「强信号」(全大/全小) 才建议直接用于筛选。「偏大/偏小」仅参考。连续4期+出现🚨时，考虑等待反转，不要盲目继续追同方向。</t>
        </is>
      </c>
    </row>
  </sheetData>
  <mergeCells count="22">
    <mergeCell ref="K68:O68"/>
    <mergeCell ref="Q3:X3"/>
    <mergeCell ref="F68:J68"/>
    <mergeCell ref="P70:R70"/>
    <mergeCell ref="F70:H70"/>
    <mergeCell ref="A2:AW2"/>
    <mergeCell ref="A3:F3"/>
    <mergeCell ref="AR3:AU3"/>
    <mergeCell ref="K70:M70"/>
    <mergeCell ref="A67:S67"/>
    <mergeCell ref="Z3:AG3"/>
    <mergeCell ref="K69:M69"/>
    <mergeCell ref="F69:H69"/>
    <mergeCell ref="H3:O3"/>
    <mergeCell ref="AI3:AP3"/>
    <mergeCell ref="A75:S75"/>
    <mergeCell ref="P68:T68"/>
    <mergeCell ref="A74:S74"/>
    <mergeCell ref="A68:E68"/>
    <mergeCell ref="A70:C70"/>
    <mergeCell ref="P69:R69"/>
    <mergeCell ref="A69:C69"/>
  </mergeCells>
  <dataValidations count="1">
    <dataValidation sqref="C5:C18 C19:C64" showDropDown="0" showInputMessage="0" showErrorMessage="0" allowBlank="1" type="list">
      <formula1>"万能,跑马,多多,新加坡,豪龙"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59669"/>
    <outlinePr summaryBelow="1" summaryRight="1"/>
    <pageSetUpPr/>
  </sheetPr>
  <dimension ref="A2:N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7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25" customWidth="1" min="14" max="14"/>
  </cols>
  <sheetData>
    <row r="1" ht="6" customHeight="1"/>
    <row r="2" ht="32" customHeight="1">
      <c r="A2" s="130" t="inlineStr">
        <is>
          <t>📂 3D 号码归档 — 活跃·推荐·规律等待·下半年出现 全状态追踪</t>
        </is>
      </c>
    </row>
    <row r="3" ht="18" customHeight="1">
      <c r="B3" s="131" t="inlineStr">
        <is>
          <t>活跃</t>
        </is>
      </c>
      <c r="C3" s="132" t="inlineStr">
        <is>
          <t>推荐</t>
        </is>
      </c>
      <c r="D3" s="133" t="inlineStr">
        <is>
          <t>规律等待中</t>
        </is>
      </c>
      <c r="E3" s="134" t="inlineStr">
        <is>
          <t>下半年出现</t>
        </is>
      </c>
      <c r="F3" s="135" t="inlineStr">
        <is>
          <t>冷号回补</t>
        </is>
      </c>
      <c r="G3" s="136" t="inlineStr">
        <is>
          <t>观察中</t>
        </is>
      </c>
      <c r="H3" s="137" t="inlineStr">
        <is>
          <t>已命中</t>
        </is>
      </c>
      <c r="I3" s="138" t="inlineStr">
        <is>
          <t>忽略</t>
        </is>
      </c>
    </row>
    <row r="4" ht="18" customHeight="1">
      <c r="A4" s="139" t="inlineStr">
        <is>
          <t>统计</t>
        </is>
      </c>
      <c r="B4" s="140">
        <f>COUNTIF(F6:F105,"活跃")</f>
        <v/>
      </c>
      <c r="C4" s="141">
        <f>COUNTIF(F6:F105,"推荐")</f>
        <v/>
      </c>
      <c r="D4" s="142">
        <f>COUNTIF(F6:F105,"规律等待中")</f>
        <v/>
      </c>
      <c r="E4" s="143">
        <f>COUNTIF(F6:F105,"下半年出现")</f>
        <v/>
      </c>
      <c r="F4" s="144">
        <f>COUNTIF(F6:F105,"冷号回补")</f>
        <v/>
      </c>
      <c r="G4" s="145">
        <f>COUNTIF(F6:F105,"观察中")</f>
        <v/>
      </c>
      <c r="H4" s="146">
        <f>COUNTIF(F6:F105,"已命中")</f>
        <v/>
      </c>
      <c r="I4" s="147">
        <f>COUNTIF(F6:F105,"忽略")</f>
        <v/>
      </c>
    </row>
    <row r="5" ht="22" customHeight="1">
      <c r="A5" s="148" t="inlineStr">
        <is>
          <t>#</t>
        </is>
      </c>
      <c r="B5" s="149" t="inlineStr">
        <is>
          <t>3D号码</t>
        </is>
      </c>
      <c r="C5" s="149" t="inlineStr">
        <is>
          <t>数根</t>
        </is>
      </c>
      <c r="D5" s="150" t="inlineStr">
        <is>
          <t>大小形态</t>
        </is>
      </c>
      <c r="E5" s="151" t="inlineStr">
        <is>
          <t>单双形态</t>
        </is>
      </c>
      <c r="F5" s="152" t="inlineStr">
        <is>
          <t>状态</t>
        </is>
      </c>
      <c r="G5" s="153" t="inlineStr">
        <is>
          <t>优先级</t>
        </is>
      </c>
      <c r="H5" s="148" t="inlineStr">
        <is>
          <t>市场</t>
        </is>
      </c>
      <c r="I5" s="154" t="inlineStr">
        <is>
          <t>近30期次数</t>
        </is>
      </c>
      <c r="J5" s="154" t="inlineStr">
        <is>
          <t>上次出现</t>
        </is>
      </c>
      <c r="K5" s="154" t="inlineStr">
        <is>
          <t>已过期(期)</t>
        </is>
      </c>
      <c r="L5" s="155" t="inlineStr">
        <is>
          <t>预测出现</t>
        </is>
      </c>
      <c r="M5" s="156" t="inlineStr">
        <is>
          <t>验证</t>
        </is>
      </c>
      <c r="N5" s="148" t="inlineStr">
        <is>
          <t>备注/理由</t>
        </is>
      </c>
    </row>
    <row r="6" ht="20" customHeight="1">
      <c r="A6" s="157" t="n">
        <v>1</v>
      </c>
      <c r="B6" s="177" t="n"/>
      <c r="C6" s="159">
        <f>IF(B6="","",IF(MOD(INT(B6/100)+INT(MOD(B6,100)/10)+MOD(B6,10),9)=0,9,MOD(INT(B6/100)+INT(MOD(B6,100)/10)+MOD(B6,10),9)))</f>
        <v/>
      </c>
      <c r="D6" s="160">
        <f>IF(B6="","",IF(INT(B6/100)&gt;=5,"大","小")&amp;IF(INT(MOD(B6,100)/10)&gt;=5,"大","小")&amp;IF(MOD(B6,10)&gt;=5,"大","小"))</f>
        <v/>
      </c>
      <c r="E6" s="159">
        <f>IF(B6="","",IF(MOD(INT(B6/100),2)=0,"双","单")&amp;IF(MOD(INT(MOD(B6,100)/10),2)=0,"双","单")&amp;IF(MOD(MOD(B6,10),2)=0,"双","单"))</f>
        <v/>
      </c>
      <c r="F6" s="161" t="n"/>
      <c r="G6" s="161" t="n"/>
      <c r="H6" s="161" t="n"/>
      <c r="I6" s="161" t="n"/>
      <c r="J6" s="178" t="n"/>
      <c r="K6" s="161" t="n"/>
      <c r="L6" s="178" t="n"/>
      <c r="M6" s="161" t="n"/>
      <c r="N6" s="163" t="n"/>
    </row>
    <row r="7" ht="20" customHeight="1">
      <c r="A7" s="157" t="n">
        <v>2</v>
      </c>
      <c r="B7" s="179" t="n"/>
      <c r="C7" s="165">
        <f>IF(B7="","",IF(MOD(INT(B7/100)+INT(MOD(B7,100)/10)+MOD(B7,10),9)=0,9,MOD(INT(B7/100)+INT(MOD(B7,100)/10)+MOD(B7,10),9)))</f>
        <v/>
      </c>
      <c r="D7" s="166">
        <f>IF(B7="","",IF(INT(B7/100)&gt;=5,"大","小")&amp;IF(INT(MOD(B7,100)/10)&gt;=5,"大","小")&amp;IF(MOD(B7,10)&gt;=5,"大","小"))</f>
        <v/>
      </c>
      <c r="E7" s="165">
        <f>IF(B7="","",IF(MOD(INT(B7/100),2)=0,"双","单")&amp;IF(MOD(INT(MOD(B7,100)/10),2)=0,"双","单")&amp;IF(MOD(MOD(B7,10),2)=0,"双","单"))</f>
        <v/>
      </c>
      <c r="F7" s="167" t="n"/>
      <c r="G7" s="167" t="n"/>
      <c r="H7" s="167" t="n"/>
      <c r="I7" s="167" t="n"/>
      <c r="J7" s="180" t="n"/>
      <c r="K7" s="167" t="n"/>
      <c r="L7" s="180" t="n"/>
      <c r="M7" s="167" t="n"/>
      <c r="N7" s="169" t="n"/>
    </row>
    <row r="8" ht="20" customHeight="1">
      <c r="A8" s="157" t="n">
        <v>3</v>
      </c>
      <c r="B8" s="177" t="n"/>
      <c r="C8" s="159">
        <f>IF(B8="","",IF(MOD(INT(B8/100)+INT(MOD(B8,100)/10)+MOD(B8,10),9)=0,9,MOD(INT(B8/100)+INT(MOD(B8,100)/10)+MOD(B8,10),9)))</f>
        <v/>
      </c>
      <c r="D8" s="160">
        <f>IF(B8="","",IF(INT(B8/100)&gt;=5,"大","小")&amp;IF(INT(MOD(B8,100)/10)&gt;=5,"大","小")&amp;IF(MOD(B8,10)&gt;=5,"大","小"))</f>
        <v/>
      </c>
      <c r="E8" s="159">
        <f>IF(B8="","",IF(MOD(INT(B8/100),2)=0,"双","单")&amp;IF(MOD(INT(MOD(B8,100)/10),2)=0,"双","单")&amp;IF(MOD(MOD(B8,10),2)=0,"双","单"))</f>
        <v/>
      </c>
      <c r="F8" s="161" t="n"/>
      <c r="G8" s="161" t="n"/>
      <c r="H8" s="161" t="n"/>
      <c r="I8" s="161" t="n"/>
      <c r="J8" s="178" t="n"/>
      <c r="K8" s="161" t="n"/>
      <c r="L8" s="178" t="n"/>
      <c r="M8" s="161" t="n"/>
      <c r="N8" s="163" t="n"/>
    </row>
    <row r="9" ht="20" customHeight="1">
      <c r="A9" s="157" t="n">
        <v>4</v>
      </c>
      <c r="B9" s="179" t="n"/>
      <c r="C9" s="165">
        <f>IF(B9="","",IF(MOD(INT(B9/100)+INT(MOD(B9,100)/10)+MOD(B9,10),9)=0,9,MOD(INT(B9/100)+INT(MOD(B9,100)/10)+MOD(B9,10),9)))</f>
        <v/>
      </c>
      <c r="D9" s="166">
        <f>IF(B9="","",IF(INT(B9/100)&gt;=5,"大","小")&amp;IF(INT(MOD(B9,100)/10)&gt;=5,"大","小")&amp;IF(MOD(B9,10)&gt;=5,"大","小"))</f>
        <v/>
      </c>
      <c r="E9" s="165">
        <f>IF(B9="","",IF(MOD(INT(B9/100),2)=0,"双","单")&amp;IF(MOD(INT(MOD(B9,100)/10),2)=0,"双","单")&amp;IF(MOD(MOD(B9,10),2)=0,"双","单"))</f>
        <v/>
      </c>
      <c r="F9" s="167" t="n"/>
      <c r="G9" s="167" t="n"/>
      <c r="H9" s="167" t="n"/>
      <c r="I9" s="167" t="n"/>
      <c r="J9" s="180" t="n"/>
      <c r="K9" s="167" t="n"/>
      <c r="L9" s="180" t="n"/>
      <c r="M9" s="167" t="n"/>
      <c r="N9" s="169" t="n"/>
    </row>
    <row r="10" ht="20" customHeight="1">
      <c r="A10" s="157" t="n">
        <v>5</v>
      </c>
      <c r="B10" s="177" t="n"/>
      <c r="C10" s="159">
        <f>IF(B10="","",IF(MOD(INT(B10/100)+INT(MOD(B10,100)/10)+MOD(B10,10),9)=0,9,MOD(INT(B10/100)+INT(MOD(B10,100)/10)+MOD(B10,10),9)))</f>
        <v/>
      </c>
      <c r="D10" s="160">
        <f>IF(B10="","",IF(INT(B10/100)&gt;=5,"大","小")&amp;IF(INT(MOD(B10,100)/10)&gt;=5,"大","小")&amp;IF(MOD(B10,10)&gt;=5,"大","小"))</f>
        <v/>
      </c>
      <c r="E10" s="159">
        <f>IF(B10="","",IF(MOD(INT(B10/100),2)=0,"双","单")&amp;IF(MOD(INT(MOD(B10,100)/10),2)=0,"双","单")&amp;IF(MOD(MOD(B10,10),2)=0,"双","单"))</f>
        <v/>
      </c>
      <c r="F10" s="161" t="n"/>
      <c r="G10" s="161" t="n"/>
      <c r="H10" s="161" t="n"/>
      <c r="I10" s="161" t="n"/>
      <c r="J10" s="178" t="n"/>
      <c r="K10" s="161" t="n"/>
      <c r="L10" s="178" t="n"/>
      <c r="M10" s="161" t="n"/>
      <c r="N10" s="163" t="n"/>
    </row>
    <row r="11" ht="20" customHeight="1">
      <c r="A11" s="157" t="n">
        <v>6</v>
      </c>
      <c r="B11" s="179" t="n"/>
      <c r="C11" s="165">
        <f>IF(B11="","",IF(MOD(INT(B11/100)+INT(MOD(B11,100)/10)+MOD(B11,10),9)=0,9,MOD(INT(B11/100)+INT(MOD(B11,100)/10)+MOD(B11,10),9)))</f>
        <v/>
      </c>
      <c r="D11" s="166">
        <f>IF(B11="","",IF(INT(B11/100)&gt;=5,"大","小")&amp;IF(INT(MOD(B11,100)/10)&gt;=5,"大","小")&amp;IF(MOD(B11,10)&gt;=5,"大","小"))</f>
        <v/>
      </c>
      <c r="E11" s="165">
        <f>IF(B11="","",IF(MOD(INT(B11/100),2)=0,"双","单")&amp;IF(MOD(INT(MOD(B11,100)/10),2)=0,"双","单")&amp;IF(MOD(MOD(B11,10),2)=0,"双","单"))</f>
        <v/>
      </c>
      <c r="F11" s="167" t="n"/>
      <c r="G11" s="167" t="n"/>
      <c r="H11" s="167" t="n"/>
      <c r="I11" s="167" t="n"/>
      <c r="J11" s="180" t="n"/>
      <c r="K11" s="167" t="n"/>
      <c r="L11" s="180" t="n"/>
      <c r="M11" s="167" t="n"/>
      <c r="N11" s="169" t="n"/>
    </row>
    <row r="12" ht="20" customHeight="1">
      <c r="A12" s="157" t="n">
        <v>7</v>
      </c>
      <c r="B12" s="177" t="n"/>
      <c r="C12" s="159">
        <f>IF(B12="","",IF(MOD(INT(B12/100)+INT(MOD(B12,100)/10)+MOD(B12,10),9)=0,9,MOD(INT(B12/100)+INT(MOD(B12,100)/10)+MOD(B12,10),9)))</f>
        <v/>
      </c>
      <c r="D12" s="160">
        <f>IF(B12="","",IF(INT(B12/100)&gt;=5,"大","小")&amp;IF(INT(MOD(B12,100)/10)&gt;=5,"大","小")&amp;IF(MOD(B12,10)&gt;=5,"大","小"))</f>
        <v/>
      </c>
      <c r="E12" s="159">
        <f>IF(B12="","",IF(MOD(INT(B12/100),2)=0,"双","单")&amp;IF(MOD(INT(MOD(B12,100)/10),2)=0,"双","单")&amp;IF(MOD(MOD(B12,10),2)=0,"双","单"))</f>
        <v/>
      </c>
      <c r="F12" s="161" t="n"/>
      <c r="G12" s="161" t="n"/>
      <c r="H12" s="161" t="n"/>
      <c r="I12" s="161" t="n"/>
      <c r="J12" s="178" t="n"/>
      <c r="K12" s="161" t="n"/>
      <c r="L12" s="178" t="n"/>
      <c r="M12" s="161" t="n"/>
      <c r="N12" s="163" t="n"/>
    </row>
    <row r="13" ht="20" customHeight="1">
      <c r="A13" s="157" t="n">
        <v>8</v>
      </c>
      <c r="B13" s="179" t="n"/>
      <c r="C13" s="165">
        <f>IF(B13="","",IF(MOD(INT(B13/100)+INT(MOD(B13,100)/10)+MOD(B13,10),9)=0,9,MOD(INT(B13/100)+INT(MOD(B13,100)/10)+MOD(B13,10),9)))</f>
        <v/>
      </c>
      <c r="D13" s="166">
        <f>IF(B13="","",IF(INT(B13/100)&gt;=5,"大","小")&amp;IF(INT(MOD(B13,100)/10)&gt;=5,"大","小")&amp;IF(MOD(B13,10)&gt;=5,"大","小"))</f>
        <v/>
      </c>
      <c r="E13" s="165">
        <f>IF(B13="","",IF(MOD(INT(B13/100),2)=0,"双","单")&amp;IF(MOD(INT(MOD(B13,100)/10),2)=0,"双","单")&amp;IF(MOD(MOD(B13,10),2)=0,"双","单"))</f>
        <v/>
      </c>
      <c r="F13" s="167" t="n"/>
      <c r="G13" s="167" t="n"/>
      <c r="H13" s="167" t="n"/>
      <c r="I13" s="167" t="n"/>
      <c r="J13" s="180" t="n"/>
      <c r="K13" s="167" t="n"/>
      <c r="L13" s="180" t="n"/>
      <c r="M13" s="167" t="n"/>
      <c r="N13" s="169" t="n"/>
    </row>
    <row r="14" ht="20" customHeight="1">
      <c r="A14" s="157" t="n">
        <v>9</v>
      </c>
      <c r="B14" s="177" t="n"/>
      <c r="C14" s="159">
        <f>IF(B14="","",IF(MOD(INT(B14/100)+INT(MOD(B14,100)/10)+MOD(B14,10),9)=0,9,MOD(INT(B14/100)+INT(MOD(B14,100)/10)+MOD(B14,10),9)))</f>
        <v/>
      </c>
      <c r="D14" s="160">
        <f>IF(B14="","",IF(INT(B14/100)&gt;=5,"大","小")&amp;IF(INT(MOD(B14,100)/10)&gt;=5,"大","小")&amp;IF(MOD(B14,10)&gt;=5,"大","小"))</f>
        <v/>
      </c>
      <c r="E14" s="159">
        <f>IF(B14="","",IF(MOD(INT(B14/100),2)=0,"双","单")&amp;IF(MOD(INT(MOD(B14,100)/10),2)=0,"双","单")&amp;IF(MOD(MOD(B14,10),2)=0,"双","单"))</f>
        <v/>
      </c>
      <c r="F14" s="161" t="n"/>
      <c r="G14" s="161" t="n"/>
      <c r="H14" s="161" t="n"/>
      <c r="I14" s="161" t="n"/>
      <c r="J14" s="178" t="n"/>
      <c r="K14" s="161" t="n"/>
      <c r="L14" s="178" t="n"/>
      <c r="M14" s="161" t="n"/>
      <c r="N14" s="163" t="n"/>
    </row>
    <row r="15" ht="20" customHeight="1">
      <c r="A15" s="157" t="n">
        <v>10</v>
      </c>
      <c r="B15" s="179" t="n"/>
      <c r="C15" s="165">
        <f>IF(B15="","",IF(MOD(INT(B15/100)+INT(MOD(B15,100)/10)+MOD(B15,10),9)=0,9,MOD(INT(B15/100)+INT(MOD(B15,100)/10)+MOD(B15,10),9)))</f>
        <v/>
      </c>
      <c r="D15" s="166">
        <f>IF(B15="","",IF(INT(B15/100)&gt;=5,"大","小")&amp;IF(INT(MOD(B15,100)/10)&gt;=5,"大","小")&amp;IF(MOD(B15,10)&gt;=5,"大","小"))</f>
        <v/>
      </c>
      <c r="E15" s="165">
        <f>IF(B15="","",IF(MOD(INT(B15/100),2)=0,"双","单")&amp;IF(MOD(INT(MOD(B15,100)/10),2)=0,"双","单")&amp;IF(MOD(MOD(B15,10),2)=0,"双","单"))</f>
        <v/>
      </c>
      <c r="F15" s="167" t="n"/>
      <c r="G15" s="167" t="n"/>
      <c r="H15" s="167" t="n"/>
      <c r="I15" s="167" t="n"/>
      <c r="J15" s="180" t="n"/>
      <c r="K15" s="167" t="n"/>
      <c r="L15" s="180" t="n"/>
      <c r="M15" s="167" t="n"/>
      <c r="N15" s="169" t="n"/>
    </row>
    <row r="16" ht="20" customHeight="1">
      <c r="A16" s="157" t="n">
        <v>11</v>
      </c>
      <c r="B16" s="177" t="n"/>
      <c r="C16" s="159">
        <f>IF(B16="","",IF(MOD(INT(B16/100)+INT(MOD(B16,100)/10)+MOD(B16,10),9)=0,9,MOD(INT(B16/100)+INT(MOD(B16,100)/10)+MOD(B16,10),9)))</f>
        <v/>
      </c>
      <c r="D16" s="160">
        <f>IF(B16="","",IF(INT(B16/100)&gt;=5,"大","小")&amp;IF(INT(MOD(B16,100)/10)&gt;=5,"大","小")&amp;IF(MOD(B16,10)&gt;=5,"大","小"))</f>
        <v/>
      </c>
      <c r="E16" s="159">
        <f>IF(B16="","",IF(MOD(INT(B16/100),2)=0,"双","单")&amp;IF(MOD(INT(MOD(B16,100)/10),2)=0,"双","单")&amp;IF(MOD(MOD(B16,10),2)=0,"双","单"))</f>
        <v/>
      </c>
      <c r="F16" s="161" t="n"/>
      <c r="G16" s="161" t="n"/>
      <c r="H16" s="161" t="n"/>
      <c r="I16" s="161" t="n"/>
      <c r="J16" s="178" t="n"/>
      <c r="K16" s="161" t="n"/>
      <c r="L16" s="178" t="n"/>
      <c r="M16" s="161" t="n"/>
      <c r="N16" s="163" t="n"/>
    </row>
    <row r="17" ht="20" customHeight="1">
      <c r="A17" s="157" t="n">
        <v>12</v>
      </c>
      <c r="B17" s="179" t="n"/>
      <c r="C17" s="165">
        <f>IF(B17="","",IF(MOD(INT(B17/100)+INT(MOD(B17,100)/10)+MOD(B17,10),9)=0,9,MOD(INT(B17/100)+INT(MOD(B17,100)/10)+MOD(B17,10),9)))</f>
        <v/>
      </c>
      <c r="D17" s="166">
        <f>IF(B17="","",IF(INT(B17/100)&gt;=5,"大","小")&amp;IF(INT(MOD(B17,100)/10)&gt;=5,"大","小")&amp;IF(MOD(B17,10)&gt;=5,"大","小"))</f>
        <v/>
      </c>
      <c r="E17" s="165">
        <f>IF(B17="","",IF(MOD(INT(B17/100),2)=0,"双","单")&amp;IF(MOD(INT(MOD(B17,100)/10),2)=0,"双","单")&amp;IF(MOD(MOD(B17,10),2)=0,"双","单"))</f>
        <v/>
      </c>
      <c r="F17" s="167" t="n"/>
      <c r="G17" s="167" t="n"/>
      <c r="H17" s="167" t="n"/>
      <c r="I17" s="167" t="n"/>
      <c r="J17" s="180" t="n"/>
      <c r="K17" s="167" t="n"/>
      <c r="L17" s="180" t="n"/>
      <c r="M17" s="167" t="n"/>
      <c r="N17" s="169" t="n"/>
    </row>
    <row r="18" ht="20" customHeight="1">
      <c r="A18" s="157" t="n">
        <v>13</v>
      </c>
      <c r="B18" s="177" t="n"/>
      <c r="C18" s="159">
        <f>IF(B18="","",IF(MOD(INT(B18/100)+INT(MOD(B18,100)/10)+MOD(B18,10),9)=0,9,MOD(INT(B18/100)+INT(MOD(B18,100)/10)+MOD(B18,10),9)))</f>
        <v/>
      </c>
      <c r="D18" s="160">
        <f>IF(B18="","",IF(INT(B18/100)&gt;=5,"大","小")&amp;IF(INT(MOD(B18,100)/10)&gt;=5,"大","小")&amp;IF(MOD(B18,10)&gt;=5,"大","小"))</f>
        <v/>
      </c>
      <c r="E18" s="159">
        <f>IF(B18="","",IF(MOD(INT(B18/100),2)=0,"双","单")&amp;IF(MOD(INT(MOD(B18,100)/10),2)=0,"双","单")&amp;IF(MOD(MOD(B18,10),2)=0,"双","单"))</f>
        <v/>
      </c>
      <c r="F18" s="161" t="n"/>
      <c r="G18" s="161" t="n"/>
      <c r="H18" s="161" t="n"/>
      <c r="I18" s="161" t="n"/>
      <c r="J18" s="178" t="n"/>
      <c r="K18" s="161" t="n"/>
      <c r="L18" s="178" t="n"/>
      <c r="M18" s="161" t="n"/>
      <c r="N18" s="163" t="n"/>
    </row>
    <row r="19" ht="20" customHeight="1">
      <c r="A19" s="157" t="n">
        <v>14</v>
      </c>
      <c r="B19" s="179" t="n"/>
      <c r="C19" s="165">
        <f>IF(B19="","",IF(MOD(INT(B19/100)+INT(MOD(B19,100)/10)+MOD(B19,10),9)=0,9,MOD(INT(B19/100)+INT(MOD(B19,100)/10)+MOD(B19,10),9)))</f>
        <v/>
      </c>
      <c r="D19" s="166">
        <f>IF(B19="","",IF(INT(B19/100)&gt;=5,"大","小")&amp;IF(INT(MOD(B19,100)/10)&gt;=5,"大","小")&amp;IF(MOD(B19,10)&gt;=5,"大","小"))</f>
        <v/>
      </c>
      <c r="E19" s="165">
        <f>IF(B19="","",IF(MOD(INT(B19/100),2)=0,"双","单")&amp;IF(MOD(INT(MOD(B19,100)/10),2)=0,"双","单")&amp;IF(MOD(MOD(B19,10),2)=0,"双","单"))</f>
        <v/>
      </c>
      <c r="F19" s="167" t="n"/>
      <c r="G19" s="167" t="n"/>
      <c r="H19" s="167" t="n"/>
      <c r="I19" s="167" t="n"/>
      <c r="J19" s="180" t="n"/>
      <c r="K19" s="167" t="n"/>
      <c r="L19" s="180" t="n"/>
      <c r="M19" s="167" t="n"/>
      <c r="N19" s="169" t="n"/>
    </row>
    <row r="20" ht="20" customHeight="1">
      <c r="A20" s="157" t="n">
        <v>15</v>
      </c>
      <c r="B20" s="177" t="n"/>
      <c r="C20" s="159">
        <f>IF(B20="","",IF(MOD(INT(B20/100)+INT(MOD(B20,100)/10)+MOD(B20,10),9)=0,9,MOD(INT(B20/100)+INT(MOD(B20,100)/10)+MOD(B20,10),9)))</f>
        <v/>
      </c>
      <c r="D20" s="160">
        <f>IF(B20="","",IF(INT(B20/100)&gt;=5,"大","小")&amp;IF(INT(MOD(B20,100)/10)&gt;=5,"大","小")&amp;IF(MOD(B20,10)&gt;=5,"大","小"))</f>
        <v/>
      </c>
      <c r="E20" s="159">
        <f>IF(B20="","",IF(MOD(INT(B20/100),2)=0,"双","单")&amp;IF(MOD(INT(MOD(B20,100)/10),2)=0,"双","单")&amp;IF(MOD(MOD(B20,10),2)=0,"双","单"))</f>
        <v/>
      </c>
      <c r="F20" s="161" t="n"/>
      <c r="G20" s="161" t="n"/>
      <c r="H20" s="161" t="n"/>
      <c r="I20" s="161" t="n"/>
      <c r="J20" s="178" t="n"/>
      <c r="K20" s="161" t="n"/>
      <c r="L20" s="178" t="n"/>
      <c r="M20" s="161" t="n"/>
      <c r="N20" s="163" t="n"/>
    </row>
    <row r="21" ht="20" customHeight="1">
      <c r="A21" s="157" t="n">
        <v>16</v>
      </c>
      <c r="B21" s="179" t="n"/>
      <c r="C21" s="165">
        <f>IF(B21="","",IF(MOD(INT(B21/100)+INT(MOD(B21,100)/10)+MOD(B21,10),9)=0,9,MOD(INT(B21/100)+INT(MOD(B21,100)/10)+MOD(B21,10),9)))</f>
        <v/>
      </c>
      <c r="D21" s="166">
        <f>IF(B21="","",IF(INT(B21/100)&gt;=5,"大","小")&amp;IF(INT(MOD(B21,100)/10)&gt;=5,"大","小")&amp;IF(MOD(B21,10)&gt;=5,"大","小"))</f>
        <v/>
      </c>
      <c r="E21" s="165">
        <f>IF(B21="","",IF(MOD(INT(B21/100),2)=0,"双","单")&amp;IF(MOD(INT(MOD(B21,100)/10),2)=0,"双","单")&amp;IF(MOD(MOD(B21,10),2)=0,"双","单"))</f>
        <v/>
      </c>
      <c r="F21" s="167" t="n"/>
      <c r="G21" s="167" t="n"/>
      <c r="H21" s="167" t="n"/>
      <c r="I21" s="167" t="n"/>
      <c r="J21" s="180" t="n"/>
      <c r="K21" s="167" t="n"/>
      <c r="L21" s="180" t="n"/>
      <c r="M21" s="167" t="n"/>
      <c r="N21" s="169" t="n"/>
    </row>
    <row r="22" ht="20" customHeight="1">
      <c r="A22" s="157" t="n">
        <v>17</v>
      </c>
      <c r="B22" s="177" t="n"/>
      <c r="C22" s="159">
        <f>IF(B22="","",IF(MOD(INT(B22/100)+INT(MOD(B22,100)/10)+MOD(B22,10),9)=0,9,MOD(INT(B22/100)+INT(MOD(B22,100)/10)+MOD(B22,10),9)))</f>
        <v/>
      </c>
      <c r="D22" s="160">
        <f>IF(B22="","",IF(INT(B22/100)&gt;=5,"大","小")&amp;IF(INT(MOD(B22,100)/10)&gt;=5,"大","小")&amp;IF(MOD(B22,10)&gt;=5,"大","小"))</f>
        <v/>
      </c>
      <c r="E22" s="159">
        <f>IF(B22="","",IF(MOD(INT(B22/100),2)=0,"双","单")&amp;IF(MOD(INT(MOD(B22,100)/10),2)=0,"双","单")&amp;IF(MOD(MOD(B22,10),2)=0,"双","单"))</f>
        <v/>
      </c>
      <c r="F22" s="161" t="n"/>
      <c r="G22" s="161" t="n"/>
      <c r="H22" s="161" t="n"/>
      <c r="I22" s="161" t="n"/>
      <c r="J22" s="178" t="n"/>
      <c r="K22" s="161" t="n"/>
      <c r="L22" s="178" t="n"/>
      <c r="M22" s="161" t="n"/>
      <c r="N22" s="163" t="n"/>
    </row>
    <row r="23" ht="20" customHeight="1">
      <c r="A23" s="157" t="n">
        <v>18</v>
      </c>
      <c r="B23" s="179" t="n"/>
      <c r="C23" s="165">
        <f>IF(B23="","",IF(MOD(INT(B23/100)+INT(MOD(B23,100)/10)+MOD(B23,10),9)=0,9,MOD(INT(B23/100)+INT(MOD(B23,100)/10)+MOD(B23,10),9)))</f>
        <v/>
      </c>
      <c r="D23" s="166">
        <f>IF(B23="","",IF(INT(B23/100)&gt;=5,"大","小")&amp;IF(INT(MOD(B23,100)/10)&gt;=5,"大","小")&amp;IF(MOD(B23,10)&gt;=5,"大","小"))</f>
        <v/>
      </c>
      <c r="E23" s="165">
        <f>IF(B23="","",IF(MOD(INT(B23/100),2)=0,"双","单")&amp;IF(MOD(INT(MOD(B23,100)/10),2)=0,"双","单")&amp;IF(MOD(MOD(B23,10),2)=0,"双","单"))</f>
        <v/>
      </c>
      <c r="F23" s="167" t="n"/>
      <c r="G23" s="167" t="n"/>
      <c r="H23" s="167" t="n"/>
      <c r="I23" s="167" t="n"/>
      <c r="J23" s="180" t="n"/>
      <c r="K23" s="167" t="n"/>
      <c r="L23" s="180" t="n"/>
      <c r="M23" s="167" t="n"/>
      <c r="N23" s="169" t="n"/>
    </row>
    <row r="24" ht="20" customHeight="1">
      <c r="A24" s="157" t="n">
        <v>19</v>
      </c>
      <c r="B24" s="177" t="n"/>
      <c r="C24" s="159">
        <f>IF(B24="","",IF(MOD(INT(B24/100)+INT(MOD(B24,100)/10)+MOD(B24,10),9)=0,9,MOD(INT(B24/100)+INT(MOD(B24,100)/10)+MOD(B24,10),9)))</f>
        <v/>
      </c>
      <c r="D24" s="160">
        <f>IF(B24="","",IF(INT(B24/100)&gt;=5,"大","小")&amp;IF(INT(MOD(B24,100)/10)&gt;=5,"大","小")&amp;IF(MOD(B24,10)&gt;=5,"大","小"))</f>
        <v/>
      </c>
      <c r="E24" s="159">
        <f>IF(B24="","",IF(MOD(INT(B24/100),2)=0,"双","单")&amp;IF(MOD(INT(MOD(B24,100)/10),2)=0,"双","单")&amp;IF(MOD(MOD(B24,10),2)=0,"双","单"))</f>
        <v/>
      </c>
      <c r="F24" s="161" t="n"/>
      <c r="G24" s="161" t="n"/>
      <c r="H24" s="161" t="n"/>
      <c r="I24" s="161" t="n"/>
      <c r="J24" s="178" t="n"/>
      <c r="K24" s="161" t="n"/>
      <c r="L24" s="178" t="n"/>
      <c r="M24" s="161" t="n"/>
      <c r="N24" s="163" t="n"/>
    </row>
    <row r="25" ht="20" customHeight="1">
      <c r="A25" s="157" t="n">
        <v>20</v>
      </c>
      <c r="B25" s="179" t="n"/>
      <c r="C25" s="165">
        <f>IF(B25="","",IF(MOD(INT(B25/100)+INT(MOD(B25,100)/10)+MOD(B25,10),9)=0,9,MOD(INT(B25/100)+INT(MOD(B25,100)/10)+MOD(B25,10),9)))</f>
        <v/>
      </c>
      <c r="D25" s="166">
        <f>IF(B25="","",IF(INT(B25/100)&gt;=5,"大","小")&amp;IF(INT(MOD(B25,100)/10)&gt;=5,"大","小")&amp;IF(MOD(B25,10)&gt;=5,"大","小"))</f>
        <v/>
      </c>
      <c r="E25" s="165">
        <f>IF(B25="","",IF(MOD(INT(B25/100),2)=0,"双","单")&amp;IF(MOD(INT(MOD(B25,100)/10),2)=0,"双","单")&amp;IF(MOD(MOD(B25,10),2)=0,"双","单"))</f>
        <v/>
      </c>
      <c r="F25" s="167" t="n"/>
      <c r="G25" s="167" t="n"/>
      <c r="H25" s="167" t="n"/>
      <c r="I25" s="167" t="n"/>
      <c r="J25" s="180" t="n"/>
      <c r="K25" s="167" t="n"/>
      <c r="L25" s="180" t="n"/>
      <c r="M25" s="167" t="n"/>
      <c r="N25" s="169" t="n"/>
    </row>
    <row r="26" ht="20" customHeight="1">
      <c r="A26" s="157" t="n">
        <v>21</v>
      </c>
      <c r="B26" s="177" t="n"/>
      <c r="C26" s="159">
        <f>IF(B26="","",IF(MOD(INT(B26/100)+INT(MOD(B26,100)/10)+MOD(B26,10),9)=0,9,MOD(INT(B26/100)+INT(MOD(B26,100)/10)+MOD(B26,10),9)))</f>
        <v/>
      </c>
      <c r="D26" s="160">
        <f>IF(B26="","",IF(INT(B26/100)&gt;=5,"大","小")&amp;IF(INT(MOD(B26,100)/10)&gt;=5,"大","小")&amp;IF(MOD(B26,10)&gt;=5,"大","小"))</f>
        <v/>
      </c>
      <c r="E26" s="159">
        <f>IF(B26="","",IF(MOD(INT(B26/100),2)=0,"双","单")&amp;IF(MOD(INT(MOD(B26,100)/10),2)=0,"双","单")&amp;IF(MOD(MOD(B26,10),2)=0,"双","单"))</f>
        <v/>
      </c>
      <c r="F26" s="161" t="n"/>
      <c r="G26" s="161" t="n"/>
      <c r="H26" s="161" t="n"/>
      <c r="I26" s="161" t="n"/>
      <c r="J26" s="178" t="n"/>
      <c r="K26" s="161" t="n"/>
      <c r="L26" s="178" t="n"/>
      <c r="M26" s="161" t="n"/>
      <c r="N26" s="163" t="n"/>
    </row>
    <row r="27" ht="20" customHeight="1">
      <c r="A27" s="157" t="n">
        <v>22</v>
      </c>
      <c r="B27" s="179" t="n"/>
      <c r="C27" s="165">
        <f>IF(B27="","",IF(MOD(INT(B27/100)+INT(MOD(B27,100)/10)+MOD(B27,10),9)=0,9,MOD(INT(B27/100)+INT(MOD(B27,100)/10)+MOD(B27,10),9)))</f>
        <v/>
      </c>
      <c r="D27" s="166">
        <f>IF(B27="","",IF(INT(B27/100)&gt;=5,"大","小")&amp;IF(INT(MOD(B27,100)/10)&gt;=5,"大","小")&amp;IF(MOD(B27,10)&gt;=5,"大","小"))</f>
        <v/>
      </c>
      <c r="E27" s="165">
        <f>IF(B27="","",IF(MOD(INT(B27/100),2)=0,"双","单")&amp;IF(MOD(INT(MOD(B27,100)/10),2)=0,"双","单")&amp;IF(MOD(MOD(B27,10),2)=0,"双","单"))</f>
        <v/>
      </c>
      <c r="F27" s="167" t="n"/>
      <c r="G27" s="167" t="n"/>
      <c r="H27" s="167" t="n"/>
      <c r="I27" s="167" t="n"/>
      <c r="J27" s="180" t="n"/>
      <c r="K27" s="167" t="n"/>
      <c r="L27" s="180" t="n"/>
      <c r="M27" s="167" t="n"/>
      <c r="N27" s="169" t="n"/>
    </row>
    <row r="28" ht="20" customHeight="1">
      <c r="A28" s="157" t="n">
        <v>23</v>
      </c>
      <c r="B28" s="177" t="n"/>
      <c r="C28" s="159">
        <f>IF(B28="","",IF(MOD(INT(B28/100)+INT(MOD(B28,100)/10)+MOD(B28,10),9)=0,9,MOD(INT(B28/100)+INT(MOD(B28,100)/10)+MOD(B28,10),9)))</f>
        <v/>
      </c>
      <c r="D28" s="160">
        <f>IF(B28="","",IF(INT(B28/100)&gt;=5,"大","小")&amp;IF(INT(MOD(B28,100)/10)&gt;=5,"大","小")&amp;IF(MOD(B28,10)&gt;=5,"大","小"))</f>
        <v/>
      </c>
      <c r="E28" s="159">
        <f>IF(B28="","",IF(MOD(INT(B28/100),2)=0,"双","单")&amp;IF(MOD(INT(MOD(B28,100)/10),2)=0,"双","单")&amp;IF(MOD(MOD(B28,10),2)=0,"双","单"))</f>
        <v/>
      </c>
      <c r="F28" s="161" t="n"/>
      <c r="G28" s="161" t="n"/>
      <c r="H28" s="161" t="n"/>
      <c r="I28" s="161" t="n"/>
      <c r="J28" s="178" t="n"/>
      <c r="K28" s="161" t="n"/>
      <c r="L28" s="178" t="n"/>
      <c r="M28" s="161" t="n"/>
      <c r="N28" s="163" t="n"/>
    </row>
    <row r="29" ht="20" customHeight="1">
      <c r="A29" s="157" t="n">
        <v>24</v>
      </c>
      <c r="B29" s="179" t="n"/>
      <c r="C29" s="165">
        <f>IF(B29="","",IF(MOD(INT(B29/100)+INT(MOD(B29,100)/10)+MOD(B29,10),9)=0,9,MOD(INT(B29/100)+INT(MOD(B29,100)/10)+MOD(B29,10),9)))</f>
        <v/>
      </c>
      <c r="D29" s="166">
        <f>IF(B29="","",IF(INT(B29/100)&gt;=5,"大","小")&amp;IF(INT(MOD(B29,100)/10)&gt;=5,"大","小")&amp;IF(MOD(B29,10)&gt;=5,"大","小"))</f>
        <v/>
      </c>
      <c r="E29" s="165">
        <f>IF(B29="","",IF(MOD(INT(B29/100),2)=0,"双","单")&amp;IF(MOD(INT(MOD(B29,100)/10),2)=0,"双","单")&amp;IF(MOD(MOD(B29,10),2)=0,"双","单"))</f>
        <v/>
      </c>
      <c r="F29" s="167" t="n"/>
      <c r="G29" s="167" t="n"/>
      <c r="H29" s="167" t="n"/>
      <c r="I29" s="167" t="n"/>
      <c r="J29" s="180" t="n"/>
      <c r="K29" s="167" t="n"/>
      <c r="L29" s="180" t="n"/>
      <c r="M29" s="167" t="n"/>
      <c r="N29" s="169" t="n"/>
    </row>
    <row r="30" ht="20" customHeight="1">
      <c r="A30" s="157" t="n">
        <v>25</v>
      </c>
      <c r="B30" s="177" t="n"/>
      <c r="C30" s="159">
        <f>IF(B30="","",IF(MOD(INT(B30/100)+INT(MOD(B30,100)/10)+MOD(B30,10),9)=0,9,MOD(INT(B30/100)+INT(MOD(B30,100)/10)+MOD(B30,10),9)))</f>
        <v/>
      </c>
      <c r="D30" s="160">
        <f>IF(B30="","",IF(INT(B30/100)&gt;=5,"大","小")&amp;IF(INT(MOD(B30,100)/10)&gt;=5,"大","小")&amp;IF(MOD(B30,10)&gt;=5,"大","小"))</f>
        <v/>
      </c>
      <c r="E30" s="159">
        <f>IF(B30="","",IF(MOD(INT(B30/100),2)=0,"双","单")&amp;IF(MOD(INT(MOD(B30,100)/10),2)=0,"双","单")&amp;IF(MOD(MOD(B30,10),2)=0,"双","单"))</f>
        <v/>
      </c>
      <c r="F30" s="161" t="n"/>
      <c r="G30" s="161" t="n"/>
      <c r="H30" s="161" t="n"/>
      <c r="I30" s="161" t="n"/>
      <c r="J30" s="178" t="n"/>
      <c r="K30" s="161" t="n"/>
      <c r="L30" s="178" t="n"/>
      <c r="M30" s="161" t="n"/>
      <c r="N30" s="163" t="n"/>
    </row>
    <row r="31" ht="20" customHeight="1">
      <c r="A31" s="157" t="n">
        <v>26</v>
      </c>
      <c r="B31" s="179" t="n"/>
      <c r="C31" s="165">
        <f>IF(B31="","",IF(MOD(INT(B31/100)+INT(MOD(B31,100)/10)+MOD(B31,10),9)=0,9,MOD(INT(B31/100)+INT(MOD(B31,100)/10)+MOD(B31,10),9)))</f>
        <v/>
      </c>
      <c r="D31" s="166">
        <f>IF(B31="","",IF(INT(B31/100)&gt;=5,"大","小")&amp;IF(INT(MOD(B31,100)/10)&gt;=5,"大","小")&amp;IF(MOD(B31,10)&gt;=5,"大","小"))</f>
        <v/>
      </c>
      <c r="E31" s="165">
        <f>IF(B31="","",IF(MOD(INT(B31/100),2)=0,"双","单")&amp;IF(MOD(INT(MOD(B31,100)/10),2)=0,"双","单")&amp;IF(MOD(MOD(B31,10),2)=0,"双","单"))</f>
        <v/>
      </c>
      <c r="F31" s="167" t="n"/>
      <c r="G31" s="167" t="n"/>
      <c r="H31" s="167" t="n"/>
      <c r="I31" s="167" t="n"/>
      <c r="J31" s="180" t="n"/>
      <c r="K31" s="167" t="n"/>
      <c r="L31" s="180" t="n"/>
      <c r="M31" s="167" t="n"/>
      <c r="N31" s="169" t="n"/>
    </row>
    <row r="32" ht="20" customHeight="1">
      <c r="A32" s="157" t="n">
        <v>27</v>
      </c>
      <c r="B32" s="177" t="n"/>
      <c r="C32" s="159">
        <f>IF(B32="","",IF(MOD(INT(B32/100)+INT(MOD(B32,100)/10)+MOD(B32,10),9)=0,9,MOD(INT(B32/100)+INT(MOD(B32,100)/10)+MOD(B32,10),9)))</f>
        <v/>
      </c>
      <c r="D32" s="160">
        <f>IF(B32="","",IF(INT(B32/100)&gt;=5,"大","小")&amp;IF(INT(MOD(B32,100)/10)&gt;=5,"大","小")&amp;IF(MOD(B32,10)&gt;=5,"大","小"))</f>
        <v/>
      </c>
      <c r="E32" s="159">
        <f>IF(B32="","",IF(MOD(INT(B32/100),2)=0,"双","单")&amp;IF(MOD(INT(MOD(B32,100)/10),2)=0,"双","单")&amp;IF(MOD(MOD(B32,10),2)=0,"双","单"))</f>
        <v/>
      </c>
      <c r="F32" s="161" t="n"/>
      <c r="G32" s="161" t="n"/>
      <c r="H32" s="161" t="n"/>
      <c r="I32" s="161" t="n"/>
      <c r="J32" s="178" t="n"/>
      <c r="K32" s="161" t="n"/>
      <c r="L32" s="178" t="n"/>
      <c r="M32" s="161" t="n"/>
      <c r="N32" s="163" t="n"/>
    </row>
    <row r="33" ht="20" customHeight="1">
      <c r="A33" s="157" t="n">
        <v>28</v>
      </c>
      <c r="B33" s="179" t="n"/>
      <c r="C33" s="165">
        <f>IF(B33="","",IF(MOD(INT(B33/100)+INT(MOD(B33,100)/10)+MOD(B33,10),9)=0,9,MOD(INT(B33/100)+INT(MOD(B33,100)/10)+MOD(B33,10),9)))</f>
        <v/>
      </c>
      <c r="D33" s="166">
        <f>IF(B33="","",IF(INT(B33/100)&gt;=5,"大","小")&amp;IF(INT(MOD(B33,100)/10)&gt;=5,"大","小")&amp;IF(MOD(B33,10)&gt;=5,"大","小"))</f>
        <v/>
      </c>
      <c r="E33" s="165">
        <f>IF(B33="","",IF(MOD(INT(B33/100),2)=0,"双","单")&amp;IF(MOD(INT(MOD(B33,100)/10),2)=0,"双","单")&amp;IF(MOD(MOD(B33,10),2)=0,"双","单"))</f>
        <v/>
      </c>
      <c r="F33" s="167" t="n"/>
      <c r="G33" s="167" t="n"/>
      <c r="H33" s="167" t="n"/>
      <c r="I33" s="167" t="n"/>
      <c r="J33" s="180" t="n"/>
      <c r="K33" s="167" t="n"/>
      <c r="L33" s="180" t="n"/>
      <c r="M33" s="167" t="n"/>
      <c r="N33" s="169" t="n"/>
    </row>
    <row r="34" ht="20" customHeight="1">
      <c r="A34" s="157" t="n">
        <v>29</v>
      </c>
      <c r="B34" s="177" t="n"/>
      <c r="C34" s="159">
        <f>IF(B34="","",IF(MOD(INT(B34/100)+INT(MOD(B34,100)/10)+MOD(B34,10),9)=0,9,MOD(INT(B34/100)+INT(MOD(B34,100)/10)+MOD(B34,10),9)))</f>
        <v/>
      </c>
      <c r="D34" s="160">
        <f>IF(B34="","",IF(INT(B34/100)&gt;=5,"大","小")&amp;IF(INT(MOD(B34,100)/10)&gt;=5,"大","小")&amp;IF(MOD(B34,10)&gt;=5,"大","小"))</f>
        <v/>
      </c>
      <c r="E34" s="159">
        <f>IF(B34="","",IF(MOD(INT(B34/100),2)=0,"双","单")&amp;IF(MOD(INT(MOD(B34,100)/10),2)=0,"双","单")&amp;IF(MOD(MOD(B34,10),2)=0,"双","单"))</f>
        <v/>
      </c>
      <c r="F34" s="161" t="n"/>
      <c r="G34" s="161" t="n"/>
      <c r="H34" s="161" t="n"/>
      <c r="I34" s="161" t="n"/>
      <c r="J34" s="178" t="n"/>
      <c r="K34" s="161" t="n"/>
      <c r="L34" s="178" t="n"/>
      <c r="M34" s="161" t="n"/>
      <c r="N34" s="163" t="n"/>
    </row>
    <row r="35" ht="20" customHeight="1">
      <c r="A35" s="157" t="n">
        <v>30</v>
      </c>
      <c r="B35" s="179" t="n"/>
      <c r="C35" s="165">
        <f>IF(B35="","",IF(MOD(INT(B35/100)+INT(MOD(B35,100)/10)+MOD(B35,10),9)=0,9,MOD(INT(B35/100)+INT(MOD(B35,100)/10)+MOD(B35,10),9)))</f>
        <v/>
      </c>
      <c r="D35" s="166">
        <f>IF(B35="","",IF(INT(B35/100)&gt;=5,"大","小")&amp;IF(INT(MOD(B35,100)/10)&gt;=5,"大","小")&amp;IF(MOD(B35,10)&gt;=5,"大","小"))</f>
        <v/>
      </c>
      <c r="E35" s="165">
        <f>IF(B35="","",IF(MOD(INT(B35/100),2)=0,"双","单")&amp;IF(MOD(INT(MOD(B35,100)/10),2)=0,"双","单")&amp;IF(MOD(MOD(B35,10),2)=0,"双","单"))</f>
        <v/>
      </c>
      <c r="F35" s="167" t="n"/>
      <c r="G35" s="167" t="n"/>
      <c r="H35" s="167" t="n"/>
      <c r="I35" s="167" t="n"/>
      <c r="J35" s="180" t="n"/>
      <c r="K35" s="167" t="n"/>
      <c r="L35" s="180" t="n"/>
      <c r="M35" s="167" t="n"/>
      <c r="N35" s="169" t="n"/>
    </row>
    <row r="36" ht="20" customHeight="1">
      <c r="A36" s="157" t="n">
        <v>31</v>
      </c>
      <c r="B36" s="177" t="n"/>
      <c r="C36" s="159">
        <f>IF(B36="","",IF(MOD(INT(B36/100)+INT(MOD(B36,100)/10)+MOD(B36,10),9)=0,9,MOD(INT(B36/100)+INT(MOD(B36,100)/10)+MOD(B36,10),9)))</f>
        <v/>
      </c>
      <c r="D36" s="160">
        <f>IF(B36="","",IF(INT(B36/100)&gt;=5,"大","小")&amp;IF(INT(MOD(B36,100)/10)&gt;=5,"大","小")&amp;IF(MOD(B36,10)&gt;=5,"大","小"))</f>
        <v/>
      </c>
      <c r="E36" s="159">
        <f>IF(B36="","",IF(MOD(INT(B36/100),2)=0,"双","单")&amp;IF(MOD(INT(MOD(B36,100)/10),2)=0,"双","单")&amp;IF(MOD(MOD(B36,10),2)=0,"双","单"))</f>
        <v/>
      </c>
      <c r="F36" s="161" t="n"/>
      <c r="G36" s="161" t="n"/>
      <c r="H36" s="161" t="n"/>
      <c r="I36" s="161" t="n"/>
      <c r="J36" s="178" t="n"/>
      <c r="K36" s="161" t="n"/>
      <c r="L36" s="178" t="n"/>
      <c r="M36" s="161" t="n"/>
      <c r="N36" s="163" t="n"/>
    </row>
    <row r="37" ht="20" customHeight="1">
      <c r="A37" s="157" t="n">
        <v>32</v>
      </c>
      <c r="B37" s="179" t="n"/>
      <c r="C37" s="165">
        <f>IF(B37="","",IF(MOD(INT(B37/100)+INT(MOD(B37,100)/10)+MOD(B37,10),9)=0,9,MOD(INT(B37/100)+INT(MOD(B37,100)/10)+MOD(B37,10),9)))</f>
        <v/>
      </c>
      <c r="D37" s="166">
        <f>IF(B37="","",IF(INT(B37/100)&gt;=5,"大","小")&amp;IF(INT(MOD(B37,100)/10)&gt;=5,"大","小")&amp;IF(MOD(B37,10)&gt;=5,"大","小"))</f>
        <v/>
      </c>
      <c r="E37" s="165">
        <f>IF(B37="","",IF(MOD(INT(B37/100),2)=0,"双","单")&amp;IF(MOD(INT(MOD(B37,100)/10),2)=0,"双","单")&amp;IF(MOD(MOD(B37,10),2)=0,"双","单"))</f>
        <v/>
      </c>
      <c r="F37" s="167" t="n"/>
      <c r="G37" s="167" t="n"/>
      <c r="H37" s="167" t="n"/>
      <c r="I37" s="167" t="n"/>
      <c r="J37" s="180" t="n"/>
      <c r="K37" s="167" t="n"/>
      <c r="L37" s="180" t="n"/>
      <c r="M37" s="167" t="n"/>
      <c r="N37" s="169" t="n"/>
    </row>
    <row r="38" ht="20" customHeight="1">
      <c r="A38" s="157" t="n">
        <v>33</v>
      </c>
      <c r="B38" s="177" t="n"/>
      <c r="C38" s="159">
        <f>IF(B38="","",IF(MOD(INT(B38/100)+INT(MOD(B38,100)/10)+MOD(B38,10),9)=0,9,MOD(INT(B38/100)+INT(MOD(B38,100)/10)+MOD(B38,10),9)))</f>
        <v/>
      </c>
      <c r="D38" s="160">
        <f>IF(B38="","",IF(INT(B38/100)&gt;=5,"大","小")&amp;IF(INT(MOD(B38,100)/10)&gt;=5,"大","小")&amp;IF(MOD(B38,10)&gt;=5,"大","小"))</f>
        <v/>
      </c>
      <c r="E38" s="159">
        <f>IF(B38="","",IF(MOD(INT(B38/100),2)=0,"双","单")&amp;IF(MOD(INT(MOD(B38,100)/10),2)=0,"双","单")&amp;IF(MOD(MOD(B38,10),2)=0,"双","单"))</f>
        <v/>
      </c>
      <c r="F38" s="161" t="n"/>
      <c r="G38" s="161" t="n"/>
      <c r="H38" s="161" t="n"/>
      <c r="I38" s="161" t="n"/>
      <c r="J38" s="178" t="n"/>
      <c r="K38" s="161" t="n"/>
      <c r="L38" s="178" t="n"/>
      <c r="M38" s="161" t="n"/>
      <c r="N38" s="163" t="n"/>
    </row>
    <row r="39" ht="20" customHeight="1">
      <c r="A39" s="157" t="n">
        <v>34</v>
      </c>
      <c r="B39" s="179" t="n"/>
      <c r="C39" s="165">
        <f>IF(B39="","",IF(MOD(INT(B39/100)+INT(MOD(B39,100)/10)+MOD(B39,10),9)=0,9,MOD(INT(B39/100)+INT(MOD(B39,100)/10)+MOD(B39,10),9)))</f>
        <v/>
      </c>
      <c r="D39" s="166">
        <f>IF(B39="","",IF(INT(B39/100)&gt;=5,"大","小")&amp;IF(INT(MOD(B39,100)/10)&gt;=5,"大","小")&amp;IF(MOD(B39,10)&gt;=5,"大","小"))</f>
        <v/>
      </c>
      <c r="E39" s="165">
        <f>IF(B39="","",IF(MOD(INT(B39/100),2)=0,"双","单")&amp;IF(MOD(INT(MOD(B39,100)/10),2)=0,"双","单")&amp;IF(MOD(MOD(B39,10),2)=0,"双","单"))</f>
        <v/>
      </c>
      <c r="F39" s="167" t="n"/>
      <c r="G39" s="167" t="n"/>
      <c r="H39" s="167" t="n"/>
      <c r="I39" s="167" t="n"/>
      <c r="J39" s="180" t="n"/>
      <c r="K39" s="167" t="n"/>
      <c r="L39" s="180" t="n"/>
      <c r="M39" s="167" t="n"/>
      <c r="N39" s="169" t="n"/>
    </row>
    <row r="40" ht="20" customHeight="1">
      <c r="A40" s="157" t="n">
        <v>35</v>
      </c>
      <c r="B40" s="177" t="n"/>
      <c r="C40" s="159">
        <f>IF(B40="","",IF(MOD(INT(B40/100)+INT(MOD(B40,100)/10)+MOD(B40,10),9)=0,9,MOD(INT(B40/100)+INT(MOD(B40,100)/10)+MOD(B40,10),9)))</f>
        <v/>
      </c>
      <c r="D40" s="160">
        <f>IF(B40="","",IF(INT(B40/100)&gt;=5,"大","小")&amp;IF(INT(MOD(B40,100)/10)&gt;=5,"大","小")&amp;IF(MOD(B40,10)&gt;=5,"大","小"))</f>
        <v/>
      </c>
      <c r="E40" s="159">
        <f>IF(B40="","",IF(MOD(INT(B40/100),2)=0,"双","单")&amp;IF(MOD(INT(MOD(B40,100)/10),2)=0,"双","单")&amp;IF(MOD(MOD(B40,10),2)=0,"双","单"))</f>
        <v/>
      </c>
      <c r="F40" s="161" t="n"/>
      <c r="G40" s="161" t="n"/>
      <c r="H40" s="161" t="n"/>
      <c r="I40" s="161" t="n"/>
      <c r="J40" s="178" t="n"/>
      <c r="K40" s="161" t="n"/>
      <c r="L40" s="178" t="n"/>
      <c r="M40" s="161" t="n"/>
      <c r="N40" s="163" t="n"/>
    </row>
    <row r="41" ht="20" customHeight="1">
      <c r="A41" s="157" t="n">
        <v>36</v>
      </c>
      <c r="B41" s="179" t="n"/>
      <c r="C41" s="165">
        <f>IF(B41="","",IF(MOD(INT(B41/100)+INT(MOD(B41,100)/10)+MOD(B41,10),9)=0,9,MOD(INT(B41/100)+INT(MOD(B41,100)/10)+MOD(B41,10),9)))</f>
        <v/>
      </c>
      <c r="D41" s="166">
        <f>IF(B41="","",IF(INT(B41/100)&gt;=5,"大","小")&amp;IF(INT(MOD(B41,100)/10)&gt;=5,"大","小")&amp;IF(MOD(B41,10)&gt;=5,"大","小"))</f>
        <v/>
      </c>
      <c r="E41" s="165">
        <f>IF(B41="","",IF(MOD(INT(B41/100),2)=0,"双","单")&amp;IF(MOD(INT(MOD(B41,100)/10),2)=0,"双","单")&amp;IF(MOD(MOD(B41,10),2)=0,"双","单"))</f>
        <v/>
      </c>
      <c r="F41" s="167" t="n"/>
      <c r="G41" s="167" t="n"/>
      <c r="H41" s="167" t="n"/>
      <c r="I41" s="167" t="n"/>
      <c r="J41" s="180" t="n"/>
      <c r="K41" s="167" t="n"/>
      <c r="L41" s="180" t="n"/>
      <c r="M41" s="167" t="n"/>
      <c r="N41" s="169" t="n"/>
    </row>
    <row r="42" ht="20" customHeight="1">
      <c r="A42" s="157" t="n">
        <v>37</v>
      </c>
      <c r="B42" s="177" t="n"/>
      <c r="C42" s="159">
        <f>IF(B42="","",IF(MOD(INT(B42/100)+INT(MOD(B42,100)/10)+MOD(B42,10),9)=0,9,MOD(INT(B42/100)+INT(MOD(B42,100)/10)+MOD(B42,10),9)))</f>
        <v/>
      </c>
      <c r="D42" s="160">
        <f>IF(B42="","",IF(INT(B42/100)&gt;=5,"大","小")&amp;IF(INT(MOD(B42,100)/10)&gt;=5,"大","小")&amp;IF(MOD(B42,10)&gt;=5,"大","小"))</f>
        <v/>
      </c>
      <c r="E42" s="159">
        <f>IF(B42="","",IF(MOD(INT(B42/100),2)=0,"双","单")&amp;IF(MOD(INT(MOD(B42,100)/10),2)=0,"双","单")&amp;IF(MOD(MOD(B42,10),2)=0,"双","单"))</f>
        <v/>
      </c>
      <c r="F42" s="161" t="n"/>
      <c r="G42" s="161" t="n"/>
      <c r="H42" s="161" t="n"/>
      <c r="I42" s="161" t="n"/>
      <c r="J42" s="178" t="n"/>
      <c r="K42" s="161" t="n"/>
      <c r="L42" s="178" t="n"/>
      <c r="M42" s="161" t="n"/>
      <c r="N42" s="163" t="n"/>
    </row>
    <row r="43" ht="20" customHeight="1">
      <c r="A43" s="157" t="n">
        <v>38</v>
      </c>
      <c r="B43" s="179" t="n"/>
      <c r="C43" s="165">
        <f>IF(B43="","",IF(MOD(INT(B43/100)+INT(MOD(B43,100)/10)+MOD(B43,10),9)=0,9,MOD(INT(B43/100)+INT(MOD(B43,100)/10)+MOD(B43,10),9)))</f>
        <v/>
      </c>
      <c r="D43" s="166">
        <f>IF(B43="","",IF(INT(B43/100)&gt;=5,"大","小")&amp;IF(INT(MOD(B43,100)/10)&gt;=5,"大","小")&amp;IF(MOD(B43,10)&gt;=5,"大","小"))</f>
        <v/>
      </c>
      <c r="E43" s="165">
        <f>IF(B43="","",IF(MOD(INT(B43/100),2)=0,"双","单")&amp;IF(MOD(INT(MOD(B43,100)/10),2)=0,"双","单")&amp;IF(MOD(MOD(B43,10),2)=0,"双","单"))</f>
        <v/>
      </c>
      <c r="F43" s="167" t="n"/>
      <c r="G43" s="167" t="n"/>
      <c r="H43" s="167" t="n"/>
      <c r="I43" s="167" t="n"/>
      <c r="J43" s="180" t="n"/>
      <c r="K43" s="167" t="n"/>
      <c r="L43" s="180" t="n"/>
      <c r="M43" s="167" t="n"/>
      <c r="N43" s="169" t="n"/>
    </row>
    <row r="44" ht="20" customHeight="1">
      <c r="A44" s="157" t="n">
        <v>39</v>
      </c>
      <c r="B44" s="177" t="n"/>
      <c r="C44" s="159">
        <f>IF(B44="","",IF(MOD(INT(B44/100)+INT(MOD(B44,100)/10)+MOD(B44,10),9)=0,9,MOD(INT(B44/100)+INT(MOD(B44,100)/10)+MOD(B44,10),9)))</f>
        <v/>
      </c>
      <c r="D44" s="160">
        <f>IF(B44="","",IF(INT(B44/100)&gt;=5,"大","小")&amp;IF(INT(MOD(B44,100)/10)&gt;=5,"大","小")&amp;IF(MOD(B44,10)&gt;=5,"大","小"))</f>
        <v/>
      </c>
      <c r="E44" s="159">
        <f>IF(B44="","",IF(MOD(INT(B44/100),2)=0,"双","单")&amp;IF(MOD(INT(MOD(B44,100)/10),2)=0,"双","单")&amp;IF(MOD(MOD(B44,10),2)=0,"双","单"))</f>
        <v/>
      </c>
      <c r="F44" s="161" t="n"/>
      <c r="G44" s="161" t="n"/>
      <c r="H44" s="161" t="n"/>
      <c r="I44" s="161" t="n"/>
      <c r="J44" s="178" t="n"/>
      <c r="K44" s="161" t="n"/>
      <c r="L44" s="178" t="n"/>
      <c r="M44" s="161" t="n"/>
      <c r="N44" s="163" t="n"/>
    </row>
    <row r="45" ht="20" customHeight="1">
      <c r="A45" s="157" t="n">
        <v>40</v>
      </c>
      <c r="B45" s="179" t="n"/>
      <c r="C45" s="165">
        <f>IF(B45="","",IF(MOD(INT(B45/100)+INT(MOD(B45,100)/10)+MOD(B45,10),9)=0,9,MOD(INT(B45/100)+INT(MOD(B45,100)/10)+MOD(B45,10),9)))</f>
        <v/>
      </c>
      <c r="D45" s="166">
        <f>IF(B45="","",IF(INT(B45/100)&gt;=5,"大","小")&amp;IF(INT(MOD(B45,100)/10)&gt;=5,"大","小")&amp;IF(MOD(B45,10)&gt;=5,"大","小"))</f>
        <v/>
      </c>
      <c r="E45" s="165">
        <f>IF(B45="","",IF(MOD(INT(B45/100),2)=0,"双","单")&amp;IF(MOD(INT(MOD(B45,100)/10),2)=0,"双","单")&amp;IF(MOD(MOD(B45,10),2)=0,"双","单"))</f>
        <v/>
      </c>
      <c r="F45" s="167" t="n"/>
      <c r="G45" s="167" t="n"/>
      <c r="H45" s="167" t="n"/>
      <c r="I45" s="167" t="n"/>
      <c r="J45" s="180" t="n"/>
      <c r="K45" s="167" t="n"/>
      <c r="L45" s="180" t="n"/>
      <c r="M45" s="167" t="n"/>
      <c r="N45" s="169" t="n"/>
    </row>
    <row r="46" ht="20" customHeight="1">
      <c r="A46" s="157" t="n">
        <v>41</v>
      </c>
      <c r="B46" s="177" t="n"/>
      <c r="C46" s="159">
        <f>IF(B46="","",IF(MOD(INT(B46/100)+INT(MOD(B46,100)/10)+MOD(B46,10),9)=0,9,MOD(INT(B46/100)+INT(MOD(B46,100)/10)+MOD(B46,10),9)))</f>
        <v/>
      </c>
      <c r="D46" s="160">
        <f>IF(B46="","",IF(INT(B46/100)&gt;=5,"大","小")&amp;IF(INT(MOD(B46,100)/10)&gt;=5,"大","小")&amp;IF(MOD(B46,10)&gt;=5,"大","小"))</f>
        <v/>
      </c>
      <c r="E46" s="159">
        <f>IF(B46="","",IF(MOD(INT(B46/100),2)=0,"双","单")&amp;IF(MOD(INT(MOD(B46,100)/10),2)=0,"双","单")&amp;IF(MOD(MOD(B46,10),2)=0,"双","单"))</f>
        <v/>
      </c>
      <c r="F46" s="161" t="n"/>
      <c r="G46" s="161" t="n"/>
      <c r="H46" s="161" t="n"/>
      <c r="I46" s="161" t="n"/>
      <c r="J46" s="178" t="n"/>
      <c r="K46" s="161" t="n"/>
      <c r="L46" s="178" t="n"/>
      <c r="M46" s="161" t="n"/>
      <c r="N46" s="163" t="n"/>
    </row>
    <row r="47" ht="20" customHeight="1">
      <c r="A47" s="157" t="n">
        <v>42</v>
      </c>
      <c r="B47" s="179" t="n"/>
      <c r="C47" s="165">
        <f>IF(B47="","",IF(MOD(INT(B47/100)+INT(MOD(B47,100)/10)+MOD(B47,10),9)=0,9,MOD(INT(B47/100)+INT(MOD(B47,100)/10)+MOD(B47,10),9)))</f>
        <v/>
      </c>
      <c r="D47" s="166">
        <f>IF(B47="","",IF(INT(B47/100)&gt;=5,"大","小")&amp;IF(INT(MOD(B47,100)/10)&gt;=5,"大","小")&amp;IF(MOD(B47,10)&gt;=5,"大","小"))</f>
        <v/>
      </c>
      <c r="E47" s="165">
        <f>IF(B47="","",IF(MOD(INT(B47/100),2)=0,"双","单")&amp;IF(MOD(INT(MOD(B47,100)/10),2)=0,"双","单")&amp;IF(MOD(MOD(B47,10),2)=0,"双","单"))</f>
        <v/>
      </c>
      <c r="F47" s="167" t="n"/>
      <c r="G47" s="167" t="n"/>
      <c r="H47" s="167" t="n"/>
      <c r="I47" s="167" t="n"/>
      <c r="J47" s="180" t="n"/>
      <c r="K47" s="167" t="n"/>
      <c r="L47" s="180" t="n"/>
      <c r="M47" s="167" t="n"/>
      <c r="N47" s="169" t="n"/>
    </row>
    <row r="48" ht="20" customHeight="1">
      <c r="A48" s="157" t="n">
        <v>43</v>
      </c>
      <c r="B48" s="177" t="n"/>
      <c r="C48" s="159">
        <f>IF(B48="","",IF(MOD(INT(B48/100)+INT(MOD(B48,100)/10)+MOD(B48,10),9)=0,9,MOD(INT(B48/100)+INT(MOD(B48,100)/10)+MOD(B48,10),9)))</f>
        <v/>
      </c>
      <c r="D48" s="160">
        <f>IF(B48="","",IF(INT(B48/100)&gt;=5,"大","小")&amp;IF(INT(MOD(B48,100)/10)&gt;=5,"大","小")&amp;IF(MOD(B48,10)&gt;=5,"大","小"))</f>
        <v/>
      </c>
      <c r="E48" s="159">
        <f>IF(B48="","",IF(MOD(INT(B48/100),2)=0,"双","单")&amp;IF(MOD(INT(MOD(B48,100)/10),2)=0,"双","单")&amp;IF(MOD(MOD(B48,10),2)=0,"双","单"))</f>
        <v/>
      </c>
      <c r="F48" s="161" t="n"/>
      <c r="G48" s="161" t="n"/>
      <c r="H48" s="161" t="n"/>
      <c r="I48" s="161" t="n"/>
      <c r="J48" s="178" t="n"/>
      <c r="K48" s="161" t="n"/>
      <c r="L48" s="178" t="n"/>
      <c r="M48" s="161" t="n"/>
      <c r="N48" s="163" t="n"/>
    </row>
    <row r="49" ht="20" customHeight="1">
      <c r="A49" s="157" t="n">
        <v>44</v>
      </c>
      <c r="B49" s="179" t="n"/>
      <c r="C49" s="165">
        <f>IF(B49="","",IF(MOD(INT(B49/100)+INT(MOD(B49,100)/10)+MOD(B49,10),9)=0,9,MOD(INT(B49/100)+INT(MOD(B49,100)/10)+MOD(B49,10),9)))</f>
        <v/>
      </c>
      <c r="D49" s="166">
        <f>IF(B49="","",IF(INT(B49/100)&gt;=5,"大","小")&amp;IF(INT(MOD(B49,100)/10)&gt;=5,"大","小")&amp;IF(MOD(B49,10)&gt;=5,"大","小"))</f>
        <v/>
      </c>
      <c r="E49" s="165">
        <f>IF(B49="","",IF(MOD(INT(B49/100),2)=0,"双","单")&amp;IF(MOD(INT(MOD(B49,100)/10),2)=0,"双","单")&amp;IF(MOD(MOD(B49,10),2)=0,"双","单"))</f>
        <v/>
      </c>
      <c r="F49" s="167" t="n"/>
      <c r="G49" s="167" t="n"/>
      <c r="H49" s="167" t="n"/>
      <c r="I49" s="167" t="n"/>
      <c r="J49" s="180" t="n"/>
      <c r="K49" s="167" t="n"/>
      <c r="L49" s="180" t="n"/>
      <c r="M49" s="167" t="n"/>
      <c r="N49" s="169" t="n"/>
    </row>
    <row r="50" ht="20" customHeight="1">
      <c r="A50" s="157" t="n">
        <v>45</v>
      </c>
      <c r="B50" s="177" t="n"/>
      <c r="C50" s="159">
        <f>IF(B50="","",IF(MOD(INT(B50/100)+INT(MOD(B50,100)/10)+MOD(B50,10),9)=0,9,MOD(INT(B50/100)+INT(MOD(B50,100)/10)+MOD(B50,10),9)))</f>
        <v/>
      </c>
      <c r="D50" s="160">
        <f>IF(B50="","",IF(INT(B50/100)&gt;=5,"大","小")&amp;IF(INT(MOD(B50,100)/10)&gt;=5,"大","小")&amp;IF(MOD(B50,10)&gt;=5,"大","小"))</f>
        <v/>
      </c>
      <c r="E50" s="159">
        <f>IF(B50="","",IF(MOD(INT(B50/100),2)=0,"双","单")&amp;IF(MOD(INT(MOD(B50,100)/10),2)=0,"双","单")&amp;IF(MOD(MOD(B50,10),2)=0,"双","单"))</f>
        <v/>
      </c>
      <c r="F50" s="161" t="n"/>
      <c r="G50" s="161" t="n"/>
      <c r="H50" s="161" t="n"/>
      <c r="I50" s="161" t="n"/>
      <c r="J50" s="178" t="n"/>
      <c r="K50" s="161" t="n"/>
      <c r="L50" s="178" t="n"/>
      <c r="M50" s="161" t="n"/>
      <c r="N50" s="163" t="n"/>
    </row>
    <row r="51" ht="20" customHeight="1">
      <c r="A51" s="157" t="n">
        <v>46</v>
      </c>
      <c r="B51" s="179" t="n"/>
      <c r="C51" s="165">
        <f>IF(B51="","",IF(MOD(INT(B51/100)+INT(MOD(B51,100)/10)+MOD(B51,10),9)=0,9,MOD(INT(B51/100)+INT(MOD(B51,100)/10)+MOD(B51,10),9)))</f>
        <v/>
      </c>
      <c r="D51" s="166">
        <f>IF(B51="","",IF(INT(B51/100)&gt;=5,"大","小")&amp;IF(INT(MOD(B51,100)/10)&gt;=5,"大","小")&amp;IF(MOD(B51,10)&gt;=5,"大","小"))</f>
        <v/>
      </c>
      <c r="E51" s="165">
        <f>IF(B51="","",IF(MOD(INT(B51/100),2)=0,"双","单")&amp;IF(MOD(INT(MOD(B51,100)/10),2)=0,"双","单")&amp;IF(MOD(MOD(B51,10),2)=0,"双","单"))</f>
        <v/>
      </c>
      <c r="F51" s="167" t="n"/>
      <c r="G51" s="167" t="n"/>
      <c r="H51" s="167" t="n"/>
      <c r="I51" s="167" t="n"/>
      <c r="J51" s="180" t="n"/>
      <c r="K51" s="167" t="n"/>
      <c r="L51" s="180" t="n"/>
      <c r="M51" s="167" t="n"/>
      <c r="N51" s="169" t="n"/>
    </row>
    <row r="52" ht="20" customHeight="1">
      <c r="A52" s="157" t="n">
        <v>47</v>
      </c>
      <c r="B52" s="177" t="n"/>
      <c r="C52" s="159">
        <f>IF(B52="","",IF(MOD(INT(B52/100)+INT(MOD(B52,100)/10)+MOD(B52,10),9)=0,9,MOD(INT(B52/100)+INT(MOD(B52,100)/10)+MOD(B52,10),9)))</f>
        <v/>
      </c>
      <c r="D52" s="160">
        <f>IF(B52="","",IF(INT(B52/100)&gt;=5,"大","小")&amp;IF(INT(MOD(B52,100)/10)&gt;=5,"大","小")&amp;IF(MOD(B52,10)&gt;=5,"大","小"))</f>
        <v/>
      </c>
      <c r="E52" s="159">
        <f>IF(B52="","",IF(MOD(INT(B52/100),2)=0,"双","单")&amp;IF(MOD(INT(MOD(B52,100)/10),2)=0,"双","单")&amp;IF(MOD(MOD(B52,10),2)=0,"双","单"))</f>
        <v/>
      </c>
      <c r="F52" s="161" t="n"/>
      <c r="G52" s="161" t="n"/>
      <c r="H52" s="161" t="n"/>
      <c r="I52" s="161" t="n"/>
      <c r="J52" s="178" t="n"/>
      <c r="K52" s="161" t="n"/>
      <c r="L52" s="178" t="n"/>
      <c r="M52" s="161" t="n"/>
      <c r="N52" s="163" t="n"/>
    </row>
    <row r="53" ht="20" customHeight="1">
      <c r="A53" s="157" t="n">
        <v>48</v>
      </c>
      <c r="B53" s="179" t="n"/>
      <c r="C53" s="165">
        <f>IF(B53="","",IF(MOD(INT(B53/100)+INT(MOD(B53,100)/10)+MOD(B53,10),9)=0,9,MOD(INT(B53/100)+INT(MOD(B53,100)/10)+MOD(B53,10),9)))</f>
        <v/>
      </c>
      <c r="D53" s="166">
        <f>IF(B53="","",IF(INT(B53/100)&gt;=5,"大","小")&amp;IF(INT(MOD(B53,100)/10)&gt;=5,"大","小")&amp;IF(MOD(B53,10)&gt;=5,"大","小"))</f>
        <v/>
      </c>
      <c r="E53" s="165">
        <f>IF(B53="","",IF(MOD(INT(B53/100),2)=0,"双","单")&amp;IF(MOD(INT(MOD(B53,100)/10),2)=0,"双","单")&amp;IF(MOD(MOD(B53,10),2)=0,"双","单"))</f>
        <v/>
      </c>
      <c r="F53" s="167" t="n"/>
      <c r="G53" s="167" t="n"/>
      <c r="H53" s="167" t="n"/>
      <c r="I53" s="167" t="n"/>
      <c r="J53" s="180" t="n"/>
      <c r="K53" s="167" t="n"/>
      <c r="L53" s="180" t="n"/>
      <c r="M53" s="167" t="n"/>
      <c r="N53" s="169" t="n"/>
    </row>
    <row r="54" ht="20" customHeight="1">
      <c r="A54" s="157" t="n">
        <v>49</v>
      </c>
      <c r="B54" s="177" t="n"/>
      <c r="C54" s="159">
        <f>IF(B54="","",IF(MOD(INT(B54/100)+INT(MOD(B54,100)/10)+MOD(B54,10),9)=0,9,MOD(INT(B54/100)+INT(MOD(B54,100)/10)+MOD(B54,10),9)))</f>
        <v/>
      </c>
      <c r="D54" s="160">
        <f>IF(B54="","",IF(INT(B54/100)&gt;=5,"大","小")&amp;IF(INT(MOD(B54,100)/10)&gt;=5,"大","小")&amp;IF(MOD(B54,10)&gt;=5,"大","小"))</f>
        <v/>
      </c>
      <c r="E54" s="159">
        <f>IF(B54="","",IF(MOD(INT(B54/100),2)=0,"双","单")&amp;IF(MOD(INT(MOD(B54,100)/10),2)=0,"双","单")&amp;IF(MOD(MOD(B54,10),2)=0,"双","单"))</f>
        <v/>
      </c>
      <c r="F54" s="161" t="n"/>
      <c r="G54" s="161" t="n"/>
      <c r="H54" s="161" t="n"/>
      <c r="I54" s="161" t="n"/>
      <c r="J54" s="178" t="n"/>
      <c r="K54" s="161" t="n"/>
      <c r="L54" s="178" t="n"/>
      <c r="M54" s="161" t="n"/>
      <c r="N54" s="163" t="n"/>
    </row>
    <row r="55" ht="20" customHeight="1">
      <c r="A55" s="157" t="n">
        <v>50</v>
      </c>
      <c r="B55" s="179" t="n"/>
      <c r="C55" s="165">
        <f>IF(B55="","",IF(MOD(INT(B55/100)+INT(MOD(B55,100)/10)+MOD(B55,10),9)=0,9,MOD(INT(B55/100)+INT(MOD(B55,100)/10)+MOD(B55,10),9)))</f>
        <v/>
      </c>
      <c r="D55" s="166">
        <f>IF(B55="","",IF(INT(B55/100)&gt;=5,"大","小")&amp;IF(INT(MOD(B55,100)/10)&gt;=5,"大","小")&amp;IF(MOD(B55,10)&gt;=5,"大","小"))</f>
        <v/>
      </c>
      <c r="E55" s="165">
        <f>IF(B55="","",IF(MOD(INT(B55/100),2)=0,"双","单")&amp;IF(MOD(INT(MOD(B55,100)/10),2)=0,"双","单")&amp;IF(MOD(MOD(B55,10),2)=0,"双","单"))</f>
        <v/>
      </c>
      <c r="F55" s="167" t="n"/>
      <c r="G55" s="167" t="n"/>
      <c r="H55" s="167" t="n"/>
      <c r="I55" s="167" t="n"/>
      <c r="J55" s="180" t="n"/>
      <c r="K55" s="167" t="n"/>
      <c r="L55" s="180" t="n"/>
      <c r="M55" s="167" t="n"/>
      <c r="N55" s="169" t="n"/>
    </row>
    <row r="56" ht="20" customHeight="1">
      <c r="A56" s="157" t="n">
        <v>51</v>
      </c>
      <c r="B56" s="177" t="n"/>
      <c r="C56" s="159">
        <f>IF(B56="","",IF(MOD(INT(B56/100)+INT(MOD(B56,100)/10)+MOD(B56,10),9)=0,9,MOD(INT(B56/100)+INT(MOD(B56,100)/10)+MOD(B56,10),9)))</f>
        <v/>
      </c>
      <c r="D56" s="160">
        <f>IF(B56="","",IF(INT(B56/100)&gt;=5,"大","小")&amp;IF(INT(MOD(B56,100)/10)&gt;=5,"大","小")&amp;IF(MOD(B56,10)&gt;=5,"大","小"))</f>
        <v/>
      </c>
      <c r="E56" s="159">
        <f>IF(B56="","",IF(MOD(INT(B56/100),2)=0,"双","单")&amp;IF(MOD(INT(MOD(B56,100)/10),2)=0,"双","单")&amp;IF(MOD(MOD(B56,10),2)=0,"双","单"))</f>
        <v/>
      </c>
      <c r="F56" s="161" t="n"/>
      <c r="G56" s="161" t="n"/>
      <c r="H56" s="161" t="n"/>
      <c r="I56" s="161" t="n"/>
      <c r="J56" s="178" t="n"/>
      <c r="K56" s="161" t="n"/>
      <c r="L56" s="178" t="n"/>
      <c r="M56" s="161" t="n"/>
      <c r="N56" s="163" t="n"/>
    </row>
    <row r="57" ht="20" customHeight="1">
      <c r="A57" s="157" t="n">
        <v>52</v>
      </c>
      <c r="B57" s="179" t="n"/>
      <c r="C57" s="165">
        <f>IF(B57="","",IF(MOD(INT(B57/100)+INT(MOD(B57,100)/10)+MOD(B57,10),9)=0,9,MOD(INT(B57/100)+INT(MOD(B57,100)/10)+MOD(B57,10),9)))</f>
        <v/>
      </c>
      <c r="D57" s="166">
        <f>IF(B57="","",IF(INT(B57/100)&gt;=5,"大","小")&amp;IF(INT(MOD(B57,100)/10)&gt;=5,"大","小")&amp;IF(MOD(B57,10)&gt;=5,"大","小"))</f>
        <v/>
      </c>
      <c r="E57" s="165">
        <f>IF(B57="","",IF(MOD(INT(B57/100),2)=0,"双","单")&amp;IF(MOD(INT(MOD(B57,100)/10),2)=0,"双","单")&amp;IF(MOD(MOD(B57,10),2)=0,"双","单"))</f>
        <v/>
      </c>
      <c r="F57" s="167" t="n"/>
      <c r="G57" s="167" t="n"/>
      <c r="H57" s="167" t="n"/>
      <c r="I57" s="167" t="n"/>
      <c r="J57" s="180" t="n"/>
      <c r="K57" s="167" t="n"/>
      <c r="L57" s="180" t="n"/>
      <c r="M57" s="167" t="n"/>
      <c r="N57" s="169" t="n"/>
    </row>
    <row r="58" ht="20" customHeight="1">
      <c r="A58" s="157" t="n">
        <v>53</v>
      </c>
      <c r="B58" s="177" t="n"/>
      <c r="C58" s="159">
        <f>IF(B58="","",IF(MOD(INT(B58/100)+INT(MOD(B58,100)/10)+MOD(B58,10),9)=0,9,MOD(INT(B58/100)+INT(MOD(B58,100)/10)+MOD(B58,10),9)))</f>
        <v/>
      </c>
      <c r="D58" s="160">
        <f>IF(B58="","",IF(INT(B58/100)&gt;=5,"大","小")&amp;IF(INT(MOD(B58,100)/10)&gt;=5,"大","小")&amp;IF(MOD(B58,10)&gt;=5,"大","小"))</f>
        <v/>
      </c>
      <c r="E58" s="159">
        <f>IF(B58="","",IF(MOD(INT(B58/100),2)=0,"双","单")&amp;IF(MOD(INT(MOD(B58,100)/10),2)=0,"双","单")&amp;IF(MOD(MOD(B58,10),2)=0,"双","单"))</f>
        <v/>
      </c>
      <c r="F58" s="161" t="n"/>
      <c r="G58" s="161" t="n"/>
      <c r="H58" s="161" t="n"/>
      <c r="I58" s="161" t="n"/>
      <c r="J58" s="178" t="n"/>
      <c r="K58" s="161" t="n"/>
      <c r="L58" s="178" t="n"/>
      <c r="M58" s="161" t="n"/>
      <c r="N58" s="163" t="n"/>
    </row>
    <row r="59" ht="20" customHeight="1">
      <c r="A59" s="157" t="n">
        <v>54</v>
      </c>
      <c r="B59" s="179" t="n"/>
      <c r="C59" s="165">
        <f>IF(B59="","",IF(MOD(INT(B59/100)+INT(MOD(B59,100)/10)+MOD(B59,10),9)=0,9,MOD(INT(B59/100)+INT(MOD(B59,100)/10)+MOD(B59,10),9)))</f>
        <v/>
      </c>
      <c r="D59" s="166">
        <f>IF(B59="","",IF(INT(B59/100)&gt;=5,"大","小")&amp;IF(INT(MOD(B59,100)/10)&gt;=5,"大","小")&amp;IF(MOD(B59,10)&gt;=5,"大","小"))</f>
        <v/>
      </c>
      <c r="E59" s="165">
        <f>IF(B59="","",IF(MOD(INT(B59/100),2)=0,"双","单")&amp;IF(MOD(INT(MOD(B59,100)/10),2)=0,"双","单")&amp;IF(MOD(MOD(B59,10),2)=0,"双","单"))</f>
        <v/>
      </c>
      <c r="F59" s="167" t="n"/>
      <c r="G59" s="167" t="n"/>
      <c r="H59" s="167" t="n"/>
      <c r="I59" s="167" t="n"/>
      <c r="J59" s="180" t="n"/>
      <c r="K59" s="167" t="n"/>
      <c r="L59" s="180" t="n"/>
      <c r="M59" s="167" t="n"/>
      <c r="N59" s="169" t="n"/>
    </row>
    <row r="60" ht="20" customHeight="1">
      <c r="A60" s="157" t="n">
        <v>55</v>
      </c>
      <c r="B60" s="177" t="n"/>
      <c r="C60" s="159">
        <f>IF(B60="","",IF(MOD(INT(B60/100)+INT(MOD(B60,100)/10)+MOD(B60,10),9)=0,9,MOD(INT(B60/100)+INT(MOD(B60,100)/10)+MOD(B60,10),9)))</f>
        <v/>
      </c>
      <c r="D60" s="160">
        <f>IF(B60="","",IF(INT(B60/100)&gt;=5,"大","小")&amp;IF(INT(MOD(B60,100)/10)&gt;=5,"大","小")&amp;IF(MOD(B60,10)&gt;=5,"大","小"))</f>
        <v/>
      </c>
      <c r="E60" s="159">
        <f>IF(B60="","",IF(MOD(INT(B60/100),2)=0,"双","单")&amp;IF(MOD(INT(MOD(B60,100)/10),2)=0,"双","单")&amp;IF(MOD(MOD(B60,10),2)=0,"双","单"))</f>
        <v/>
      </c>
      <c r="F60" s="161" t="n"/>
      <c r="G60" s="161" t="n"/>
      <c r="H60" s="161" t="n"/>
      <c r="I60" s="161" t="n"/>
      <c r="J60" s="178" t="n"/>
      <c r="K60" s="161" t="n"/>
      <c r="L60" s="178" t="n"/>
      <c r="M60" s="161" t="n"/>
      <c r="N60" s="163" t="n"/>
    </row>
    <row r="61" ht="20" customHeight="1">
      <c r="A61" s="157" t="n">
        <v>56</v>
      </c>
      <c r="B61" s="179" t="n"/>
      <c r="C61" s="165">
        <f>IF(B61="","",IF(MOD(INT(B61/100)+INT(MOD(B61,100)/10)+MOD(B61,10),9)=0,9,MOD(INT(B61/100)+INT(MOD(B61,100)/10)+MOD(B61,10),9)))</f>
        <v/>
      </c>
      <c r="D61" s="166">
        <f>IF(B61="","",IF(INT(B61/100)&gt;=5,"大","小")&amp;IF(INT(MOD(B61,100)/10)&gt;=5,"大","小")&amp;IF(MOD(B61,10)&gt;=5,"大","小"))</f>
        <v/>
      </c>
      <c r="E61" s="165">
        <f>IF(B61="","",IF(MOD(INT(B61/100),2)=0,"双","单")&amp;IF(MOD(INT(MOD(B61,100)/10),2)=0,"双","单")&amp;IF(MOD(MOD(B61,10),2)=0,"双","单"))</f>
        <v/>
      </c>
      <c r="F61" s="167" t="n"/>
      <c r="G61" s="167" t="n"/>
      <c r="H61" s="167" t="n"/>
      <c r="I61" s="167" t="n"/>
      <c r="J61" s="180" t="n"/>
      <c r="K61" s="167" t="n"/>
      <c r="L61" s="180" t="n"/>
      <c r="M61" s="167" t="n"/>
      <c r="N61" s="169" t="n"/>
    </row>
    <row r="62" ht="20" customHeight="1">
      <c r="A62" s="157" t="n">
        <v>57</v>
      </c>
      <c r="B62" s="177" t="n"/>
      <c r="C62" s="159">
        <f>IF(B62="","",IF(MOD(INT(B62/100)+INT(MOD(B62,100)/10)+MOD(B62,10),9)=0,9,MOD(INT(B62/100)+INT(MOD(B62,100)/10)+MOD(B62,10),9)))</f>
        <v/>
      </c>
      <c r="D62" s="160">
        <f>IF(B62="","",IF(INT(B62/100)&gt;=5,"大","小")&amp;IF(INT(MOD(B62,100)/10)&gt;=5,"大","小")&amp;IF(MOD(B62,10)&gt;=5,"大","小"))</f>
        <v/>
      </c>
      <c r="E62" s="159">
        <f>IF(B62="","",IF(MOD(INT(B62/100),2)=0,"双","单")&amp;IF(MOD(INT(MOD(B62,100)/10),2)=0,"双","单")&amp;IF(MOD(MOD(B62,10),2)=0,"双","单"))</f>
        <v/>
      </c>
      <c r="F62" s="161" t="n"/>
      <c r="G62" s="161" t="n"/>
      <c r="H62" s="161" t="n"/>
      <c r="I62" s="161" t="n"/>
      <c r="J62" s="178" t="n"/>
      <c r="K62" s="161" t="n"/>
      <c r="L62" s="178" t="n"/>
      <c r="M62" s="161" t="n"/>
      <c r="N62" s="163" t="n"/>
    </row>
    <row r="63" ht="20" customHeight="1">
      <c r="A63" s="157" t="n">
        <v>58</v>
      </c>
      <c r="B63" s="179" t="n"/>
      <c r="C63" s="165">
        <f>IF(B63="","",IF(MOD(INT(B63/100)+INT(MOD(B63,100)/10)+MOD(B63,10),9)=0,9,MOD(INT(B63/100)+INT(MOD(B63,100)/10)+MOD(B63,10),9)))</f>
        <v/>
      </c>
      <c r="D63" s="166">
        <f>IF(B63="","",IF(INT(B63/100)&gt;=5,"大","小")&amp;IF(INT(MOD(B63,100)/10)&gt;=5,"大","小")&amp;IF(MOD(B63,10)&gt;=5,"大","小"))</f>
        <v/>
      </c>
      <c r="E63" s="165">
        <f>IF(B63="","",IF(MOD(INT(B63/100),2)=0,"双","单")&amp;IF(MOD(INT(MOD(B63,100)/10),2)=0,"双","单")&amp;IF(MOD(MOD(B63,10),2)=0,"双","单"))</f>
        <v/>
      </c>
      <c r="F63" s="167" t="n"/>
      <c r="G63" s="167" t="n"/>
      <c r="H63" s="167" t="n"/>
      <c r="I63" s="167" t="n"/>
      <c r="J63" s="180" t="n"/>
      <c r="K63" s="167" t="n"/>
      <c r="L63" s="180" t="n"/>
      <c r="M63" s="167" t="n"/>
      <c r="N63" s="169" t="n"/>
    </row>
    <row r="64" ht="20" customHeight="1">
      <c r="A64" s="157" t="n">
        <v>59</v>
      </c>
      <c r="B64" s="177" t="n"/>
      <c r="C64" s="159">
        <f>IF(B64="","",IF(MOD(INT(B64/100)+INT(MOD(B64,100)/10)+MOD(B64,10),9)=0,9,MOD(INT(B64/100)+INT(MOD(B64,100)/10)+MOD(B64,10),9)))</f>
        <v/>
      </c>
      <c r="D64" s="160">
        <f>IF(B64="","",IF(INT(B64/100)&gt;=5,"大","小")&amp;IF(INT(MOD(B64,100)/10)&gt;=5,"大","小")&amp;IF(MOD(B64,10)&gt;=5,"大","小"))</f>
        <v/>
      </c>
      <c r="E64" s="159">
        <f>IF(B64="","",IF(MOD(INT(B64/100),2)=0,"双","单")&amp;IF(MOD(INT(MOD(B64,100)/10),2)=0,"双","单")&amp;IF(MOD(MOD(B64,10),2)=0,"双","单"))</f>
        <v/>
      </c>
      <c r="F64" s="161" t="n"/>
      <c r="G64" s="161" t="n"/>
      <c r="H64" s="161" t="n"/>
      <c r="I64" s="161" t="n"/>
      <c r="J64" s="178" t="n"/>
      <c r="K64" s="161" t="n"/>
      <c r="L64" s="178" t="n"/>
      <c r="M64" s="161" t="n"/>
      <c r="N64" s="163" t="n"/>
    </row>
    <row r="65" ht="20" customHeight="1">
      <c r="A65" s="157" t="n">
        <v>60</v>
      </c>
      <c r="B65" s="179" t="n"/>
      <c r="C65" s="165">
        <f>IF(B65="","",IF(MOD(INT(B65/100)+INT(MOD(B65,100)/10)+MOD(B65,10),9)=0,9,MOD(INT(B65/100)+INT(MOD(B65,100)/10)+MOD(B65,10),9)))</f>
        <v/>
      </c>
      <c r="D65" s="166">
        <f>IF(B65="","",IF(INT(B65/100)&gt;=5,"大","小")&amp;IF(INT(MOD(B65,100)/10)&gt;=5,"大","小")&amp;IF(MOD(B65,10)&gt;=5,"大","小"))</f>
        <v/>
      </c>
      <c r="E65" s="165">
        <f>IF(B65="","",IF(MOD(INT(B65/100),2)=0,"双","单")&amp;IF(MOD(INT(MOD(B65,100)/10),2)=0,"双","单")&amp;IF(MOD(MOD(B65,10),2)=0,"双","单"))</f>
        <v/>
      </c>
      <c r="F65" s="167" t="n"/>
      <c r="G65" s="167" t="n"/>
      <c r="H65" s="167" t="n"/>
      <c r="I65" s="167" t="n"/>
      <c r="J65" s="180" t="n"/>
      <c r="K65" s="167" t="n"/>
      <c r="L65" s="180" t="n"/>
      <c r="M65" s="167" t="n"/>
      <c r="N65" s="169" t="n"/>
    </row>
    <row r="66" ht="20" customHeight="1">
      <c r="A66" s="157" t="n">
        <v>61</v>
      </c>
      <c r="B66" s="177" t="n"/>
      <c r="C66" s="159">
        <f>IF(B66="","",IF(MOD(INT(B66/100)+INT(MOD(B66,100)/10)+MOD(B66,10),9)=0,9,MOD(INT(B66/100)+INT(MOD(B66,100)/10)+MOD(B66,10),9)))</f>
        <v/>
      </c>
      <c r="D66" s="160">
        <f>IF(B66="","",IF(INT(B66/100)&gt;=5,"大","小")&amp;IF(INT(MOD(B66,100)/10)&gt;=5,"大","小")&amp;IF(MOD(B66,10)&gt;=5,"大","小"))</f>
        <v/>
      </c>
      <c r="E66" s="159">
        <f>IF(B66="","",IF(MOD(INT(B66/100),2)=0,"双","单")&amp;IF(MOD(INT(MOD(B66,100)/10),2)=0,"双","单")&amp;IF(MOD(MOD(B66,10),2)=0,"双","单"))</f>
        <v/>
      </c>
      <c r="F66" s="161" t="n"/>
      <c r="G66" s="161" t="n"/>
      <c r="H66" s="161" t="n"/>
      <c r="I66" s="161" t="n"/>
      <c r="J66" s="178" t="n"/>
      <c r="K66" s="161" t="n"/>
      <c r="L66" s="178" t="n"/>
      <c r="M66" s="161" t="n"/>
      <c r="N66" s="163" t="n"/>
    </row>
    <row r="67" ht="20" customHeight="1">
      <c r="A67" s="157" t="n">
        <v>62</v>
      </c>
      <c r="B67" s="179" t="n"/>
      <c r="C67" s="165">
        <f>IF(B67="","",IF(MOD(INT(B67/100)+INT(MOD(B67,100)/10)+MOD(B67,10),9)=0,9,MOD(INT(B67/100)+INT(MOD(B67,100)/10)+MOD(B67,10),9)))</f>
        <v/>
      </c>
      <c r="D67" s="166">
        <f>IF(B67="","",IF(INT(B67/100)&gt;=5,"大","小")&amp;IF(INT(MOD(B67,100)/10)&gt;=5,"大","小")&amp;IF(MOD(B67,10)&gt;=5,"大","小"))</f>
        <v/>
      </c>
      <c r="E67" s="165">
        <f>IF(B67="","",IF(MOD(INT(B67/100),2)=0,"双","单")&amp;IF(MOD(INT(MOD(B67,100)/10),2)=0,"双","单")&amp;IF(MOD(MOD(B67,10),2)=0,"双","单"))</f>
        <v/>
      </c>
      <c r="F67" s="167" t="n"/>
      <c r="G67" s="167" t="n"/>
      <c r="H67" s="167" t="n"/>
      <c r="I67" s="167" t="n"/>
      <c r="J67" s="180" t="n"/>
      <c r="K67" s="167" t="n"/>
      <c r="L67" s="180" t="n"/>
      <c r="M67" s="167" t="n"/>
      <c r="N67" s="169" t="n"/>
    </row>
    <row r="68" ht="20" customHeight="1">
      <c r="A68" s="157" t="n">
        <v>63</v>
      </c>
      <c r="B68" s="177" t="n"/>
      <c r="C68" s="159">
        <f>IF(B68="","",IF(MOD(INT(B68/100)+INT(MOD(B68,100)/10)+MOD(B68,10),9)=0,9,MOD(INT(B68/100)+INT(MOD(B68,100)/10)+MOD(B68,10),9)))</f>
        <v/>
      </c>
      <c r="D68" s="160">
        <f>IF(B68="","",IF(INT(B68/100)&gt;=5,"大","小")&amp;IF(INT(MOD(B68,100)/10)&gt;=5,"大","小")&amp;IF(MOD(B68,10)&gt;=5,"大","小"))</f>
        <v/>
      </c>
      <c r="E68" s="159">
        <f>IF(B68="","",IF(MOD(INT(B68/100),2)=0,"双","单")&amp;IF(MOD(INT(MOD(B68,100)/10),2)=0,"双","单")&amp;IF(MOD(MOD(B68,10),2)=0,"双","单"))</f>
        <v/>
      </c>
      <c r="F68" s="161" t="n"/>
      <c r="G68" s="161" t="n"/>
      <c r="H68" s="161" t="n"/>
      <c r="I68" s="161" t="n"/>
      <c r="J68" s="178" t="n"/>
      <c r="K68" s="161" t="n"/>
      <c r="L68" s="178" t="n"/>
      <c r="M68" s="161" t="n"/>
      <c r="N68" s="163" t="n"/>
    </row>
    <row r="69" ht="20" customHeight="1">
      <c r="A69" s="157" t="n">
        <v>64</v>
      </c>
      <c r="B69" s="179" t="n"/>
      <c r="C69" s="165">
        <f>IF(B69="","",IF(MOD(INT(B69/100)+INT(MOD(B69,100)/10)+MOD(B69,10),9)=0,9,MOD(INT(B69/100)+INT(MOD(B69,100)/10)+MOD(B69,10),9)))</f>
        <v/>
      </c>
      <c r="D69" s="166">
        <f>IF(B69="","",IF(INT(B69/100)&gt;=5,"大","小")&amp;IF(INT(MOD(B69,100)/10)&gt;=5,"大","小")&amp;IF(MOD(B69,10)&gt;=5,"大","小"))</f>
        <v/>
      </c>
      <c r="E69" s="165">
        <f>IF(B69="","",IF(MOD(INT(B69/100),2)=0,"双","单")&amp;IF(MOD(INT(MOD(B69,100)/10),2)=0,"双","单")&amp;IF(MOD(MOD(B69,10),2)=0,"双","单"))</f>
        <v/>
      </c>
      <c r="F69" s="167" t="n"/>
      <c r="G69" s="167" t="n"/>
      <c r="H69" s="167" t="n"/>
      <c r="I69" s="167" t="n"/>
      <c r="J69" s="180" t="n"/>
      <c r="K69" s="167" t="n"/>
      <c r="L69" s="180" t="n"/>
      <c r="M69" s="167" t="n"/>
      <c r="N69" s="169" t="n"/>
    </row>
    <row r="70" ht="20" customHeight="1">
      <c r="A70" s="157" t="n">
        <v>65</v>
      </c>
      <c r="B70" s="177" t="n"/>
      <c r="C70" s="159">
        <f>IF(B70="","",IF(MOD(INT(B70/100)+INT(MOD(B70,100)/10)+MOD(B70,10),9)=0,9,MOD(INT(B70/100)+INT(MOD(B70,100)/10)+MOD(B70,10),9)))</f>
        <v/>
      </c>
      <c r="D70" s="160">
        <f>IF(B70="","",IF(INT(B70/100)&gt;=5,"大","小")&amp;IF(INT(MOD(B70,100)/10)&gt;=5,"大","小")&amp;IF(MOD(B70,10)&gt;=5,"大","小"))</f>
        <v/>
      </c>
      <c r="E70" s="159">
        <f>IF(B70="","",IF(MOD(INT(B70/100),2)=0,"双","单")&amp;IF(MOD(INT(MOD(B70,100)/10),2)=0,"双","单")&amp;IF(MOD(MOD(B70,10),2)=0,"双","单"))</f>
        <v/>
      </c>
      <c r="F70" s="161" t="n"/>
      <c r="G70" s="161" t="n"/>
      <c r="H70" s="161" t="n"/>
      <c r="I70" s="161" t="n"/>
      <c r="J70" s="178" t="n"/>
      <c r="K70" s="161" t="n"/>
      <c r="L70" s="178" t="n"/>
      <c r="M70" s="161" t="n"/>
      <c r="N70" s="163" t="n"/>
    </row>
    <row r="71" ht="20" customHeight="1">
      <c r="A71" s="157" t="n">
        <v>66</v>
      </c>
      <c r="B71" s="179" t="n"/>
      <c r="C71" s="165">
        <f>IF(B71="","",IF(MOD(INT(B71/100)+INT(MOD(B71,100)/10)+MOD(B71,10),9)=0,9,MOD(INT(B71/100)+INT(MOD(B71,100)/10)+MOD(B71,10),9)))</f>
        <v/>
      </c>
      <c r="D71" s="166">
        <f>IF(B71="","",IF(INT(B71/100)&gt;=5,"大","小")&amp;IF(INT(MOD(B71,100)/10)&gt;=5,"大","小")&amp;IF(MOD(B71,10)&gt;=5,"大","小"))</f>
        <v/>
      </c>
      <c r="E71" s="165">
        <f>IF(B71="","",IF(MOD(INT(B71/100),2)=0,"双","单")&amp;IF(MOD(INT(MOD(B71,100)/10),2)=0,"双","单")&amp;IF(MOD(MOD(B71,10),2)=0,"双","单"))</f>
        <v/>
      </c>
      <c r="F71" s="167" t="n"/>
      <c r="G71" s="167" t="n"/>
      <c r="H71" s="167" t="n"/>
      <c r="I71" s="167" t="n"/>
      <c r="J71" s="180" t="n"/>
      <c r="K71" s="167" t="n"/>
      <c r="L71" s="180" t="n"/>
      <c r="M71" s="167" t="n"/>
      <c r="N71" s="169" t="n"/>
    </row>
    <row r="72" ht="20" customHeight="1">
      <c r="A72" s="157" t="n">
        <v>67</v>
      </c>
      <c r="B72" s="177" t="n"/>
      <c r="C72" s="159">
        <f>IF(B72="","",IF(MOD(INT(B72/100)+INT(MOD(B72,100)/10)+MOD(B72,10),9)=0,9,MOD(INT(B72/100)+INT(MOD(B72,100)/10)+MOD(B72,10),9)))</f>
        <v/>
      </c>
      <c r="D72" s="160">
        <f>IF(B72="","",IF(INT(B72/100)&gt;=5,"大","小")&amp;IF(INT(MOD(B72,100)/10)&gt;=5,"大","小")&amp;IF(MOD(B72,10)&gt;=5,"大","小"))</f>
        <v/>
      </c>
      <c r="E72" s="159">
        <f>IF(B72="","",IF(MOD(INT(B72/100),2)=0,"双","单")&amp;IF(MOD(INT(MOD(B72,100)/10),2)=0,"双","单")&amp;IF(MOD(MOD(B72,10),2)=0,"双","单"))</f>
        <v/>
      </c>
      <c r="F72" s="161" t="n"/>
      <c r="G72" s="161" t="n"/>
      <c r="H72" s="161" t="n"/>
      <c r="I72" s="161" t="n"/>
      <c r="J72" s="178" t="n"/>
      <c r="K72" s="161" t="n"/>
      <c r="L72" s="178" t="n"/>
      <c r="M72" s="161" t="n"/>
      <c r="N72" s="163" t="n"/>
    </row>
    <row r="73" ht="20" customHeight="1">
      <c r="A73" s="157" t="n">
        <v>68</v>
      </c>
      <c r="B73" s="179" t="n"/>
      <c r="C73" s="165">
        <f>IF(B73="","",IF(MOD(INT(B73/100)+INT(MOD(B73,100)/10)+MOD(B73,10),9)=0,9,MOD(INT(B73/100)+INT(MOD(B73,100)/10)+MOD(B73,10),9)))</f>
        <v/>
      </c>
      <c r="D73" s="166">
        <f>IF(B73="","",IF(INT(B73/100)&gt;=5,"大","小")&amp;IF(INT(MOD(B73,100)/10)&gt;=5,"大","小")&amp;IF(MOD(B73,10)&gt;=5,"大","小"))</f>
        <v/>
      </c>
      <c r="E73" s="165">
        <f>IF(B73="","",IF(MOD(INT(B73/100),2)=0,"双","单")&amp;IF(MOD(INT(MOD(B73,100)/10),2)=0,"双","单")&amp;IF(MOD(MOD(B73,10),2)=0,"双","单"))</f>
        <v/>
      </c>
      <c r="F73" s="167" t="n"/>
      <c r="G73" s="167" t="n"/>
      <c r="H73" s="167" t="n"/>
      <c r="I73" s="167" t="n"/>
      <c r="J73" s="180" t="n"/>
      <c r="K73" s="167" t="n"/>
      <c r="L73" s="180" t="n"/>
      <c r="M73" s="167" t="n"/>
      <c r="N73" s="169" t="n"/>
    </row>
    <row r="74" ht="20" customHeight="1">
      <c r="A74" s="157" t="n">
        <v>69</v>
      </c>
      <c r="B74" s="177" t="n"/>
      <c r="C74" s="159">
        <f>IF(B74="","",IF(MOD(INT(B74/100)+INT(MOD(B74,100)/10)+MOD(B74,10),9)=0,9,MOD(INT(B74/100)+INT(MOD(B74,100)/10)+MOD(B74,10),9)))</f>
        <v/>
      </c>
      <c r="D74" s="160">
        <f>IF(B74="","",IF(INT(B74/100)&gt;=5,"大","小")&amp;IF(INT(MOD(B74,100)/10)&gt;=5,"大","小")&amp;IF(MOD(B74,10)&gt;=5,"大","小"))</f>
        <v/>
      </c>
      <c r="E74" s="159">
        <f>IF(B74="","",IF(MOD(INT(B74/100),2)=0,"双","单")&amp;IF(MOD(INT(MOD(B74,100)/10),2)=0,"双","单")&amp;IF(MOD(MOD(B74,10),2)=0,"双","单"))</f>
        <v/>
      </c>
      <c r="F74" s="161" t="n"/>
      <c r="G74" s="161" t="n"/>
      <c r="H74" s="161" t="n"/>
      <c r="I74" s="161" t="n"/>
      <c r="J74" s="178" t="n"/>
      <c r="K74" s="161" t="n"/>
      <c r="L74" s="178" t="n"/>
      <c r="M74" s="161" t="n"/>
      <c r="N74" s="163" t="n"/>
    </row>
    <row r="75" ht="20" customHeight="1">
      <c r="A75" s="157" t="n">
        <v>70</v>
      </c>
      <c r="B75" s="179" t="n"/>
      <c r="C75" s="165">
        <f>IF(B75="","",IF(MOD(INT(B75/100)+INT(MOD(B75,100)/10)+MOD(B75,10),9)=0,9,MOD(INT(B75/100)+INT(MOD(B75,100)/10)+MOD(B75,10),9)))</f>
        <v/>
      </c>
      <c r="D75" s="166">
        <f>IF(B75="","",IF(INT(B75/100)&gt;=5,"大","小")&amp;IF(INT(MOD(B75,100)/10)&gt;=5,"大","小")&amp;IF(MOD(B75,10)&gt;=5,"大","小"))</f>
        <v/>
      </c>
      <c r="E75" s="165">
        <f>IF(B75="","",IF(MOD(INT(B75/100),2)=0,"双","单")&amp;IF(MOD(INT(MOD(B75,100)/10),2)=0,"双","单")&amp;IF(MOD(MOD(B75,10),2)=0,"双","单"))</f>
        <v/>
      </c>
      <c r="F75" s="167" t="n"/>
      <c r="G75" s="167" t="n"/>
      <c r="H75" s="167" t="n"/>
      <c r="I75" s="167" t="n"/>
      <c r="J75" s="180" t="n"/>
      <c r="K75" s="167" t="n"/>
      <c r="L75" s="180" t="n"/>
      <c r="M75" s="167" t="n"/>
      <c r="N75" s="169" t="n"/>
    </row>
    <row r="76" ht="20" customHeight="1">
      <c r="A76" s="157" t="n">
        <v>71</v>
      </c>
      <c r="B76" s="177" t="n"/>
      <c r="C76" s="159">
        <f>IF(B76="","",IF(MOD(INT(B76/100)+INT(MOD(B76,100)/10)+MOD(B76,10),9)=0,9,MOD(INT(B76/100)+INT(MOD(B76,100)/10)+MOD(B76,10),9)))</f>
        <v/>
      </c>
      <c r="D76" s="160">
        <f>IF(B76="","",IF(INT(B76/100)&gt;=5,"大","小")&amp;IF(INT(MOD(B76,100)/10)&gt;=5,"大","小")&amp;IF(MOD(B76,10)&gt;=5,"大","小"))</f>
        <v/>
      </c>
      <c r="E76" s="159">
        <f>IF(B76="","",IF(MOD(INT(B76/100),2)=0,"双","单")&amp;IF(MOD(INT(MOD(B76,100)/10),2)=0,"双","单")&amp;IF(MOD(MOD(B76,10),2)=0,"双","单"))</f>
        <v/>
      </c>
      <c r="F76" s="161" t="n"/>
      <c r="G76" s="161" t="n"/>
      <c r="H76" s="161" t="n"/>
      <c r="I76" s="161" t="n"/>
      <c r="J76" s="178" t="n"/>
      <c r="K76" s="161" t="n"/>
      <c r="L76" s="178" t="n"/>
      <c r="M76" s="161" t="n"/>
      <c r="N76" s="163" t="n"/>
    </row>
    <row r="77" ht="20" customHeight="1">
      <c r="A77" s="157" t="n">
        <v>72</v>
      </c>
      <c r="B77" s="179" t="n"/>
      <c r="C77" s="165">
        <f>IF(B77="","",IF(MOD(INT(B77/100)+INT(MOD(B77,100)/10)+MOD(B77,10),9)=0,9,MOD(INT(B77/100)+INT(MOD(B77,100)/10)+MOD(B77,10),9)))</f>
        <v/>
      </c>
      <c r="D77" s="166">
        <f>IF(B77="","",IF(INT(B77/100)&gt;=5,"大","小")&amp;IF(INT(MOD(B77,100)/10)&gt;=5,"大","小")&amp;IF(MOD(B77,10)&gt;=5,"大","小"))</f>
        <v/>
      </c>
      <c r="E77" s="165">
        <f>IF(B77="","",IF(MOD(INT(B77/100),2)=0,"双","单")&amp;IF(MOD(INT(MOD(B77,100)/10),2)=0,"双","单")&amp;IF(MOD(MOD(B77,10),2)=0,"双","单"))</f>
        <v/>
      </c>
      <c r="F77" s="167" t="n"/>
      <c r="G77" s="167" t="n"/>
      <c r="H77" s="167" t="n"/>
      <c r="I77" s="167" t="n"/>
      <c r="J77" s="180" t="n"/>
      <c r="K77" s="167" t="n"/>
      <c r="L77" s="180" t="n"/>
      <c r="M77" s="167" t="n"/>
      <c r="N77" s="169" t="n"/>
    </row>
    <row r="78" ht="20" customHeight="1">
      <c r="A78" s="157" t="n">
        <v>73</v>
      </c>
      <c r="B78" s="177" t="n"/>
      <c r="C78" s="159">
        <f>IF(B78="","",IF(MOD(INT(B78/100)+INT(MOD(B78,100)/10)+MOD(B78,10),9)=0,9,MOD(INT(B78/100)+INT(MOD(B78,100)/10)+MOD(B78,10),9)))</f>
        <v/>
      </c>
      <c r="D78" s="160">
        <f>IF(B78="","",IF(INT(B78/100)&gt;=5,"大","小")&amp;IF(INT(MOD(B78,100)/10)&gt;=5,"大","小")&amp;IF(MOD(B78,10)&gt;=5,"大","小"))</f>
        <v/>
      </c>
      <c r="E78" s="159">
        <f>IF(B78="","",IF(MOD(INT(B78/100),2)=0,"双","单")&amp;IF(MOD(INT(MOD(B78,100)/10),2)=0,"双","单")&amp;IF(MOD(MOD(B78,10),2)=0,"双","单"))</f>
        <v/>
      </c>
      <c r="F78" s="161" t="n"/>
      <c r="G78" s="161" t="n"/>
      <c r="H78" s="161" t="n"/>
      <c r="I78" s="161" t="n"/>
      <c r="J78" s="178" t="n"/>
      <c r="K78" s="161" t="n"/>
      <c r="L78" s="178" t="n"/>
      <c r="M78" s="161" t="n"/>
      <c r="N78" s="163" t="n"/>
    </row>
    <row r="79" ht="20" customHeight="1">
      <c r="A79" s="157" t="n">
        <v>74</v>
      </c>
      <c r="B79" s="179" t="n"/>
      <c r="C79" s="165">
        <f>IF(B79="","",IF(MOD(INT(B79/100)+INT(MOD(B79,100)/10)+MOD(B79,10),9)=0,9,MOD(INT(B79/100)+INT(MOD(B79,100)/10)+MOD(B79,10),9)))</f>
        <v/>
      </c>
      <c r="D79" s="166">
        <f>IF(B79="","",IF(INT(B79/100)&gt;=5,"大","小")&amp;IF(INT(MOD(B79,100)/10)&gt;=5,"大","小")&amp;IF(MOD(B79,10)&gt;=5,"大","小"))</f>
        <v/>
      </c>
      <c r="E79" s="165">
        <f>IF(B79="","",IF(MOD(INT(B79/100),2)=0,"双","单")&amp;IF(MOD(INT(MOD(B79,100)/10),2)=0,"双","单")&amp;IF(MOD(MOD(B79,10),2)=0,"双","单"))</f>
        <v/>
      </c>
      <c r="F79" s="167" t="n"/>
      <c r="G79" s="167" t="n"/>
      <c r="H79" s="167" t="n"/>
      <c r="I79" s="167" t="n"/>
      <c r="J79" s="180" t="n"/>
      <c r="K79" s="167" t="n"/>
      <c r="L79" s="180" t="n"/>
      <c r="M79" s="167" t="n"/>
      <c r="N79" s="169" t="n"/>
    </row>
    <row r="80" ht="20" customHeight="1">
      <c r="A80" s="157" t="n">
        <v>75</v>
      </c>
      <c r="B80" s="177" t="n"/>
      <c r="C80" s="159">
        <f>IF(B80="","",IF(MOD(INT(B80/100)+INT(MOD(B80,100)/10)+MOD(B80,10),9)=0,9,MOD(INT(B80/100)+INT(MOD(B80,100)/10)+MOD(B80,10),9)))</f>
        <v/>
      </c>
      <c r="D80" s="160">
        <f>IF(B80="","",IF(INT(B80/100)&gt;=5,"大","小")&amp;IF(INT(MOD(B80,100)/10)&gt;=5,"大","小")&amp;IF(MOD(B80,10)&gt;=5,"大","小"))</f>
        <v/>
      </c>
      <c r="E80" s="159">
        <f>IF(B80="","",IF(MOD(INT(B80/100),2)=0,"双","单")&amp;IF(MOD(INT(MOD(B80,100)/10),2)=0,"双","单")&amp;IF(MOD(MOD(B80,10),2)=0,"双","单"))</f>
        <v/>
      </c>
      <c r="F80" s="161" t="n"/>
      <c r="G80" s="161" t="n"/>
      <c r="H80" s="161" t="n"/>
      <c r="I80" s="161" t="n"/>
      <c r="J80" s="178" t="n"/>
      <c r="K80" s="161" t="n"/>
      <c r="L80" s="178" t="n"/>
      <c r="M80" s="161" t="n"/>
      <c r="N80" s="163" t="n"/>
    </row>
    <row r="81" ht="20" customHeight="1">
      <c r="A81" s="157" t="n">
        <v>76</v>
      </c>
      <c r="B81" s="179" t="n"/>
      <c r="C81" s="165">
        <f>IF(B81="","",IF(MOD(INT(B81/100)+INT(MOD(B81,100)/10)+MOD(B81,10),9)=0,9,MOD(INT(B81/100)+INT(MOD(B81,100)/10)+MOD(B81,10),9)))</f>
        <v/>
      </c>
      <c r="D81" s="166">
        <f>IF(B81="","",IF(INT(B81/100)&gt;=5,"大","小")&amp;IF(INT(MOD(B81,100)/10)&gt;=5,"大","小")&amp;IF(MOD(B81,10)&gt;=5,"大","小"))</f>
        <v/>
      </c>
      <c r="E81" s="165">
        <f>IF(B81="","",IF(MOD(INT(B81/100),2)=0,"双","单")&amp;IF(MOD(INT(MOD(B81,100)/10),2)=0,"双","单")&amp;IF(MOD(MOD(B81,10),2)=0,"双","单"))</f>
        <v/>
      </c>
      <c r="F81" s="167" t="n"/>
      <c r="G81" s="167" t="n"/>
      <c r="H81" s="167" t="n"/>
      <c r="I81" s="167" t="n"/>
      <c r="J81" s="180" t="n"/>
      <c r="K81" s="167" t="n"/>
      <c r="L81" s="180" t="n"/>
      <c r="M81" s="167" t="n"/>
      <c r="N81" s="169" t="n"/>
    </row>
    <row r="82" ht="20" customHeight="1">
      <c r="A82" s="157" t="n">
        <v>77</v>
      </c>
      <c r="B82" s="177" t="n"/>
      <c r="C82" s="159">
        <f>IF(B82="","",IF(MOD(INT(B82/100)+INT(MOD(B82,100)/10)+MOD(B82,10),9)=0,9,MOD(INT(B82/100)+INT(MOD(B82,100)/10)+MOD(B82,10),9)))</f>
        <v/>
      </c>
      <c r="D82" s="160">
        <f>IF(B82="","",IF(INT(B82/100)&gt;=5,"大","小")&amp;IF(INT(MOD(B82,100)/10)&gt;=5,"大","小")&amp;IF(MOD(B82,10)&gt;=5,"大","小"))</f>
        <v/>
      </c>
      <c r="E82" s="159">
        <f>IF(B82="","",IF(MOD(INT(B82/100),2)=0,"双","单")&amp;IF(MOD(INT(MOD(B82,100)/10),2)=0,"双","单")&amp;IF(MOD(MOD(B82,10),2)=0,"双","单"))</f>
        <v/>
      </c>
      <c r="F82" s="161" t="n"/>
      <c r="G82" s="161" t="n"/>
      <c r="H82" s="161" t="n"/>
      <c r="I82" s="161" t="n"/>
      <c r="J82" s="178" t="n"/>
      <c r="K82" s="161" t="n"/>
      <c r="L82" s="178" t="n"/>
      <c r="M82" s="161" t="n"/>
      <c r="N82" s="163" t="n"/>
    </row>
    <row r="83" ht="20" customHeight="1">
      <c r="A83" s="157" t="n">
        <v>78</v>
      </c>
      <c r="B83" s="179" t="n"/>
      <c r="C83" s="165">
        <f>IF(B83="","",IF(MOD(INT(B83/100)+INT(MOD(B83,100)/10)+MOD(B83,10),9)=0,9,MOD(INT(B83/100)+INT(MOD(B83,100)/10)+MOD(B83,10),9)))</f>
        <v/>
      </c>
      <c r="D83" s="166">
        <f>IF(B83="","",IF(INT(B83/100)&gt;=5,"大","小")&amp;IF(INT(MOD(B83,100)/10)&gt;=5,"大","小")&amp;IF(MOD(B83,10)&gt;=5,"大","小"))</f>
        <v/>
      </c>
      <c r="E83" s="165">
        <f>IF(B83="","",IF(MOD(INT(B83/100),2)=0,"双","单")&amp;IF(MOD(INT(MOD(B83,100)/10),2)=0,"双","单")&amp;IF(MOD(MOD(B83,10),2)=0,"双","单"))</f>
        <v/>
      </c>
      <c r="F83" s="167" t="n"/>
      <c r="G83" s="167" t="n"/>
      <c r="H83" s="167" t="n"/>
      <c r="I83" s="167" t="n"/>
      <c r="J83" s="180" t="n"/>
      <c r="K83" s="167" t="n"/>
      <c r="L83" s="180" t="n"/>
      <c r="M83" s="167" t="n"/>
      <c r="N83" s="169" t="n"/>
    </row>
    <row r="84" ht="20" customHeight="1">
      <c r="A84" s="157" t="n">
        <v>79</v>
      </c>
      <c r="B84" s="177" t="n"/>
      <c r="C84" s="159">
        <f>IF(B84="","",IF(MOD(INT(B84/100)+INT(MOD(B84,100)/10)+MOD(B84,10),9)=0,9,MOD(INT(B84/100)+INT(MOD(B84,100)/10)+MOD(B84,10),9)))</f>
        <v/>
      </c>
      <c r="D84" s="160">
        <f>IF(B84="","",IF(INT(B84/100)&gt;=5,"大","小")&amp;IF(INT(MOD(B84,100)/10)&gt;=5,"大","小")&amp;IF(MOD(B84,10)&gt;=5,"大","小"))</f>
        <v/>
      </c>
      <c r="E84" s="159">
        <f>IF(B84="","",IF(MOD(INT(B84/100),2)=0,"双","单")&amp;IF(MOD(INT(MOD(B84,100)/10),2)=0,"双","单")&amp;IF(MOD(MOD(B84,10),2)=0,"双","单"))</f>
        <v/>
      </c>
      <c r="F84" s="161" t="n"/>
      <c r="G84" s="161" t="n"/>
      <c r="H84" s="161" t="n"/>
      <c r="I84" s="161" t="n"/>
      <c r="J84" s="178" t="n"/>
      <c r="K84" s="161" t="n"/>
      <c r="L84" s="178" t="n"/>
      <c r="M84" s="161" t="n"/>
      <c r="N84" s="163" t="n"/>
    </row>
    <row r="85" ht="20" customHeight="1">
      <c r="A85" s="157" t="n">
        <v>80</v>
      </c>
      <c r="B85" s="179" t="n"/>
      <c r="C85" s="165">
        <f>IF(B85="","",IF(MOD(INT(B85/100)+INT(MOD(B85,100)/10)+MOD(B85,10),9)=0,9,MOD(INT(B85/100)+INT(MOD(B85,100)/10)+MOD(B85,10),9)))</f>
        <v/>
      </c>
      <c r="D85" s="166">
        <f>IF(B85="","",IF(INT(B85/100)&gt;=5,"大","小")&amp;IF(INT(MOD(B85,100)/10)&gt;=5,"大","小")&amp;IF(MOD(B85,10)&gt;=5,"大","小"))</f>
        <v/>
      </c>
      <c r="E85" s="165">
        <f>IF(B85="","",IF(MOD(INT(B85/100),2)=0,"双","单")&amp;IF(MOD(INT(MOD(B85,100)/10),2)=0,"双","单")&amp;IF(MOD(MOD(B85,10),2)=0,"双","单"))</f>
        <v/>
      </c>
      <c r="F85" s="167" t="n"/>
      <c r="G85" s="167" t="n"/>
      <c r="H85" s="167" t="n"/>
      <c r="I85" s="167" t="n"/>
      <c r="J85" s="180" t="n"/>
      <c r="K85" s="167" t="n"/>
      <c r="L85" s="180" t="n"/>
      <c r="M85" s="167" t="n"/>
      <c r="N85" s="169" t="n"/>
    </row>
    <row r="86" ht="20" customHeight="1">
      <c r="A86" s="157" t="n">
        <v>81</v>
      </c>
      <c r="B86" s="177" t="n"/>
      <c r="C86" s="159">
        <f>IF(B86="","",IF(MOD(INT(B86/100)+INT(MOD(B86,100)/10)+MOD(B86,10),9)=0,9,MOD(INT(B86/100)+INT(MOD(B86,100)/10)+MOD(B86,10),9)))</f>
        <v/>
      </c>
      <c r="D86" s="160">
        <f>IF(B86="","",IF(INT(B86/100)&gt;=5,"大","小")&amp;IF(INT(MOD(B86,100)/10)&gt;=5,"大","小")&amp;IF(MOD(B86,10)&gt;=5,"大","小"))</f>
        <v/>
      </c>
      <c r="E86" s="159">
        <f>IF(B86="","",IF(MOD(INT(B86/100),2)=0,"双","单")&amp;IF(MOD(INT(MOD(B86,100)/10),2)=0,"双","单")&amp;IF(MOD(MOD(B86,10),2)=0,"双","单"))</f>
        <v/>
      </c>
      <c r="F86" s="161" t="n"/>
      <c r="G86" s="161" t="n"/>
      <c r="H86" s="161" t="n"/>
      <c r="I86" s="161" t="n"/>
      <c r="J86" s="178" t="n"/>
      <c r="K86" s="161" t="n"/>
      <c r="L86" s="178" t="n"/>
      <c r="M86" s="161" t="n"/>
      <c r="N86" s="163" t="n"/>
    </row>
    <row r="87" ht="20" customHeight="1">
      <c r="A87" s="157" t="n">
        <v>82</v>
      </c>
      <c r="B87" s="179" t="n"/>
      <c r="C87" s="165">
        <f>IF(B87="","",IF(MOD(INT(B87/100)+INT(MOD(B87,100)/10)+MOD(B87,10),9)=0,9,MOD(INT(B87/100)+INT(MOD(B87,100)/10)+MOD(B87,10),9)))</f>
        <v/>
      </c>
      <c r="D87" s="166">
        <f>IF(B87="","",IF(INT(B87/100)&gt;=5,"大","小")&amp;IF(INT(MOD(B87,100)/10)&gt;=5,"大","小")&amp;IF(MOD(B87,10)&gt;=5,"大","小"))</f>
        <v/>
      </c>
      <c r="E87" s="165">
        <f>IF(B87="","",IF(MOD(INT(B87/100),2)=0,"双","单")&amp;IF(MOD(INT(MOD(B87,100)/10),2)=0,"双","单")&amp;IF(MOD(MOD(B87,10),2)=0,"双","单"))</f>
        <v/>
      </c>
      <c r="F87" s="167" t="n"/>
      <c r="G87" s="167" t="n"/>
      <c r="H87" s="167" t="n"/>
      <c r="I87" s="167" t="n"/>
      <c r="J87" s="180" t="n"/>
      <c r="K87" s="167" t="n"/>
      <c r="L87" s="180" t="n"/>
      <c r="M87" s="167" t="n"/>
      <c r="N87" s="169" t="n"/>
    </row>
    <row r="88" ht="20" customHeight="1">
      <c r="A88" s="157" t="n">
        <v>83</v>
      </c>
      <c r="B88" s="177" t="n"/>
      <c r="C88" s="159">
        <f>IF(B88="","",IF(MOD(INT(B88/100)+INT(MOD(B88,100)/10)+MOD(B88,10),9)=0,9,MOD(INT(B88/100)+INT(MOD(B88,100)/10)+MOD(B88,10),9)))</f>
        <v/>
      </c>
      <c r="D88" s="160">
        <f>IF(B88="","",IF(INT(B88/100)&gt;=5,"大","小")&amp;IF(INT(MOD(B88,100)/10)&gt;=5,"大","小")&amp;IF(MOD(B88,10)&gt;=5,"大","小"))</f>
        <v/>
      </c>
      <c r="E88" s="159">
        <f>IF(B88="","",IF(MOD(INT(B88/100),2)=0,"双","单")&amp;IF(MOD(INT(MOD(B88,100)/10),2)=0,"双","单")&amp;IF(MOD(MOD(B88,10),2)=0,"双","单"))</f>
        <v/>
      </c>
      <c r="F88" s="161" t="n"/>
      <c r="G88" s="161" t="n"/>
      <c r="H88" s="161" t="n"/>
      <c r="I88" s="161" t="n"/>
      <c r="J88" s="178" t="n"/>
      <c r="K88" s="161" t="n"/>
      <c r="L88" s="178" t="n"/>
      <c r="M88" s="161" t="n"/>
      <c r="N88" s="163" t="n"/>
    </row>
    <row r="89" ht="20" customHeight="1">
      <c r="A89" s="157" t="n">
        <v>84</v>
      </c>
      <c r="B89" s="179" t="n"/>
      <c r="C89" s="165">
        <f>IF(B89="","",IF(MOD(INT(B89/100)+INT(MOD(B89,100)/10)+MOD(B89,10),9)=0,9,MOD(INT(B89/100)+INT(MOD(B89,100)/10)+MOD(B89,10),9)))</f>
        <v/>
      </c>
      <c r="D89" s="166">
        <f>IF(B89="","",IF(INT(B89/100)&gt;=5,"大","小")&amp;IF(INT(MOD(B89,100)/10)&gt;=5,"大","小")&amp;IF(MOD(B89,10)&gt;=5,"大","小"))</f>
        <v/>
      </c>
      <c r="E89" s="165">
        <f>IF(B89="","",IF(MOD(INT(B89/100),2)=0,"双","单")&amp;IF(MOD(INT(MOD(B89,100)/10),2)=0,"双","单")&amp;IF(MOD(MOD(B89,10),2)=0,"双","单"))</f>
        <v/>
      </c>
      <c r="F89" s="167" t="n"/>
      <c r="G89" s="167" t="n"/>
      <c r="H89" s="167" t="n"/>
      <c r="I89" s="167" t="n"/>
      <c r="J89" s="180" t="n"/>
      <c r="K89" s="167" t="n"/>
      <c r="L89" s="180" t="n"/>
      <c r="M89" s="167" t="n"/>
      <c r="N89" s="169" t="n"/>
    </row>
    <row r="90" ht="20" customHeight="1">
      <c r="A90" s="157" t="n">
        <v>85</v>
      </c>
      <c r="B90" s="177" t="n"/>
      <c r="C90" s="159">
        <f>IF(B90="","",IF(MOD(INT(B90/100)+INT(MOD(B90,100)/10)+MOD(B90,10),9)=0,9,MOD(INT(B90/100)+INT(MOD(B90,100)/10)+MOD(B90,10),9)))</f>
        <v/>
      </c>
      <c r="D90" s="160">
        <f>IF(B90="","",IF(INT(B90/100)&gt;=5,"大","小")&amp;IF(INT(MOD(B90,100)/10)&gt;=5,"大","小")&amp;IF(MOD(B90,10)&gt;=5,"大","小"))</f>
        <v/>
      </c>
      <c r="E90" s="159">
        <f>IF(B90="","",IF(MOD(INT(B90/100),2)=0,"双","单")&amp;IF(MOD(INT(MOD(B90,100)/10),2)=0,"双","单")&amp;IF(MOD(MOD(B90,10),2)=0,"双","单"))</f>
        <v/>
      </c>
      <c r="F90" s="161" t="n"/>
      <c r="G90" s="161" t="n"/>
      <c r="H90" s="161" t="n"/>
      <c r="I90" s="161" t="n"/>
      <c r="J90" s="178" t="n"/>
      <c r="K90" s="161" t="n"/>
      <c r="L90" s="178" t="n"/>
      <c r="M90" s="161" t="n"/>
      <c r="N90" s="163" t="n"/>
    </row>
    <row r="91" ht="20" customHeight="1">
      <c r="A91" s="157" t="n">
        <v>86</v>
      </c>
      <c r="B91" s="179" t="n"/>
      <c r="C91" s="165">
        <f>IF(B91="","",IF(MOD(INT(B91/100)+INT(MOD(B91,100)/10)+MOD(B91,10),9)=0,9,MOD(INT(B91/100)+INT(MOD(B91,100)/10)+MOD(B91,10),9)))</f>
        <v/>
      </c>
      <c r="D91" s="166">
        <f>IF(B91="","",IF(INT(B91/100)&gt;=5,"大","小")&amp;IF(INT(MOD(B91,100)/10)&gt;=5,"大","小")&amp;IF(MOD(B91,10)&gt;=5,"大","小"))</f>
        <v/>
      </c>
      <c r="E91" s="165">
        <f>IF(B91="","",IF(MOD(INT(B91/100),2)=0,"双","单")&amp;IF(MOD(INT(MOD(B91,100)/10),2)=0,"双","单")&amp;IF(MOD(MOD(B91,10),2)=0,"双","单"))</f>
        <v/>
      </c>
      <c r="F91" s="167" t="n"/>
      <c r="G91" s="167" t="n"/>
      <c r="H91" s="167" t="n"/>
      <c r="I91" s="167" t="n"/>
      <c r="J91" s="180" t="n"/>
      <c r="K91" s="167" t="n"/>
      <c r="L91" s="180" t="n"/>
      <c r="M91" s="167" t="n"/>
      <c r="N91" s="169" t="n"/>
    </row>
    <row r="92" ht="20" customHeight="1">
      <c r="A92" s="157" t="n">
        <v>87</v>
      </c>
      <c r="B92" s="177" t="n"/>
      <c r="C92" s="159">
        <f>IF(B92="","",IF(MOD(INT(B92/100)+INT(MOD(B92,100)/10)+MOD(B92,10),9)=0,9,MOD(INT(B92/100)+INT(MOD(B92,100)/10)+MOD(B92,10),9)))</f>
        <v/>
      </c>
      <c r="D92" s="160">
        <f>IF(B92="","",IF(INT(B92/100)&gt;=5,"大","小")&amp;IF(INT(MOD(B92,100)/10)&gt;=5,"大","小")&amp;IF(MOD(B92,10)&gt;=5,"大","小"))</f>
        <v/>
      </c>
      <c r="E92" s="159">
        <f>IF(B92="","",IF(MOD(INT(B92/100),2)=0,"双","单")&amp;IF(MOD(INT(MOD(B92,100)/10),2)=0,"双","单")&amp;IF(MOD(MOD(B92,10),2)=0,"双","单"))</f>
        <v/>
      </c>
      <c r="F92" s="161" t="n"/>
      <c r="G92" s="161" t="n"/>
      <c r="H92" s="161" t="n"/>
      <c r="I92" s="161" t="n"/>
      <c r="J92" s="178" t="n"/>
      <c r="K92" s="161" t="n"/>
      <c r="L92" s="178" t="n"/>
      <c r="M92" s="161" t="n"/>
      <c r="N92" s="163" t="n"/>
    </row>
    <row r="93" ht="20" customHeight="1">
      <c r="A93" s="157" t="n">
        <v>88</v>
      </c>
      <c r="B93" s="179" t="n"/>
      <c r="C93" s="165">
        <f>IF(B93="","",IF(MOD(INT(B93/100)+INT(MOD(B93,100)/10)+MOD(B93,10),9)=0,9,MOD(INT(B93/100)+INT(MOD(B93,100)/10)+MOD(B93,10),9)))</f>
        <v/>
      </c>
      <c r="D93" s="166">
        <f>IF(B93="","",IF(INT(B93/100)&gt;=5,"大","小")&amp;IF(INT(MOD(B93,100)/10)&gt;=5,"大","小")&amp;IF(MOD(B93,10)&gt;=5,"大","小"))</f>
        <v/>
      </c>
      <c r="E93" s="165">
        <f>IF(B93="","",IF(MOD(INT(B93/100),2)=0,"双","单")&amp;IF(MOD(INT(MOD(B93,100)/10),2)=0,"双","单")&amp;IF(MOD(MOD(B93,10),2)=0,"双","单"))</f>
        <v/>
      </c>
      <c r="F93" s="167" t="n"/>
      <c r="G93" s="167" t="n"/>
      <c r="H93" s="167" t="n"/>
      <c r="I93" s="167" t="n"/>
      <c r="J93" s="180" t="n"/>
      <c r="K93" s="167" t="n"/>
      <c r="L93" s="180" t="n"/>
      <c r="M93" s="167" t="n"/>
      <c r="N93" s="169" t="n"/>
    </row>
    <row r="94" ht="20" customHeight="1">
      <c r="A94" s="157" t="n">
        <v>89</v>
      </c>
      <c r="B94" s="177" t="n"/>
      <c r="C94" s="159">
        <f>IF(B94="","",IF(MOD(INT(B94/100)+INT(MOD(B94,100)/10)+MOD(B94,10),9)=0,9,MOD(INT(B94/100)+INT(MOD(B94,100)/10)+MOD(B94,10),9)))</f>
        <v/>
      </c>
      <c r="D94" s="160">
        <f>IF(B94="","",IF(INT(B94/100)&gt;=5,"大","小")&amp;IF(INT(MOD(B94,100)/10)&gt;=5,"大","小")&amp;IF(MOD(B94,10)&gt;=5,"大","小"))</f>
        <v/>
      </c>
      <c r="E94" s="159">
        <f>IF(B94="","",IF(MOD(INT(B94/100),2)=0,"双","单")&amp;IF(MOD(INT(MOD(B94,100)/10),2)=0,"双","单")&amp;IF(MOD(MOD(B94,10),2)=0,"双","单"))</f>
        <v/>
      </c>
      <c r="F94" s="161" t="n"/>
      <c r="G94" s="161" t="n"/>
      <c r="H94" s="161" t="n"/>
      <c r="I94" s="161" t="n"/>
      <c r="J94" s="178" t="n"/>
      <c r="K94" s="161" t="n"/>
      <c r="L94" s="178" t="n"/>
      <c r="M94" s="161" t="n"/>
      <c r="N94" s="163" t="n"/>
    </row>
    <row r="95" ht="20" customHeight="1">
      <c r="A95" s="157" t="n">
        <v>90</v>
      </c>
      <c r="B95" s="179" t="n"/>
      <c r="C95" s="165">
        <f>IF(B95="","",IF(MOD(INT(B95/100)+INT(MOD(B95,100)/10)+MOD(B95,10),9)=0,9,MOD(INT(B95/100)+INT(MOD(B95,100)/10)+MOD(B95,10),9)))</f>
        <v/>
      </c>
      <c r="D95" s="166">
        <f>IF(B95="","",IF(INT(B95/100)&gt;=5,"大","小")&amp;IF(INT(MOD(B95,100)/10)&gt;=5,"大","小")&amp;IF(MOD(B95,10)&gt;=5,"大","小"))</f>
        <v/>
      </c>
      <c r="E95" s="165">
        <f>IF(B95="","",IF(MOD(INT(B95/100),2)=0,"双","单")&amp;IF(MOD(INT(MOD(B95,100)/10),2)=0,"双","单")&amp;IF(MOD(MOD(B95,10),2)=0,"双","单"))</f>
        <v/>
      </c>
      <c r="F95" s="167" t="n"/>
      <c r="G95" s="167" t="n"/>
      <c r="H95" s="167" t="n"/>
      <c r="I95" s="167" t="n"/>
      <c r="J95" s="180" t="n"/>
      <c r="K95" s="167" t="n"/>
      <c r="L95" s="180" t="n"/>
      <c r="M95" s="167" t="n"/>
      <c r="N95" s="169" t="n"/>
    </row>
    <row r="96" ht="20" customHeight="1">
      <c r="A96" s="157" t="n">
        <v>91</v>
      </c>
      <c r="B96" s="177" t="n"/>
      <c r="C96" s="159">
        <f>IF(B96="","",IF(MOD(INT(B96/100)+INT(MOD(B96,100)/10)+MOD(B96,10),9)=0,9,MOD(INT(B96/100)+INT(MOD(B96,100)/10)+MOD(B96,10),9)))</f>
        <v/>
      </c>
      <c r="D96" s="160">
        <f>IF(B96="","",IF(INT(B96/100)&gt;=5,"大","小")&amp;IF(INT(MOD(B96,100)/10)&gt;=5,"大","小")&amp;IF(MOD(B96,10)&gt;=5,"大","小"))</f>
        <v/>
      </c>
      <c r="E96" s="159">
        <f>IF(B96="","",IF(MOD(INT(B96/100),2)=0,"双","单")&amp;IF(MOD(INT(MOD(B96,100)/10),2)=0,"双","单")&amp;IF(MOD(MOD(B96,10),2)=0,"双","单"))</f>
        <v/>
      </c>
      <c r="F96" s="161" t="n"/>
      <c r="G96" s="161" t="n"/>
      <c r="H96" s="161" t="n"/>
      <c r="I96" s="161" t="n"/>
      <c r="J96" s="178" t="n"/>
      <c r="K96" s="161" t="n"/>
      <c r="L96" s="178" t="n"/>
      <c r="M96" s="161" t="n"/>
      <c r="N96" s="163" t="n"/>
    </row>
    <row r="97" ht="20" customHeight="1">
      <c r="A97" s="157" t="n">
        <v>92</v>
      </c>
      <c r="B97" s="179" t="n"/>
      <c r="C97" s="165">
        <f>IF(B97="","",IF(MOD(INT(B97/100)+INT(MOD(B97,100)/10)+MOD(B97,10),9)=0,9,MOD(INT(B97/100)+INT(MOD(B97,100)/10)+MOD(B97,10),9)))</f>
        <v/>
      </c>
      <c r="D97" s="166">
        <f>IF(B97="","",IF(INT(B97/100)&gt;=5,"大","小")&amp;IF(INT(MOD(B97,100)/10)&gt;=5,"大","小")&amp;IF(MOD(B97,10)&gt;=5,"大","小"))</f>
        <v/>
      </c>
      <c r="E97" s="165">
        <f>IF(B97="","",IF(MOD(INT(B97/100),2)=0,"双","单")&amp;IF(MOD(INT(MOD(B97,100)/10),2)=0,"双","单")&amp;IF(MOD(MOD(B97,10),2)=0,"双","单"))</f>
        <v/>
      </c>
      <c r="F97" s="167" t="n"/>
      <c r="G97" s="167" t="n"/>
      <c r="H97" s="167" t="n"/>
      <c r="I97" s="167" t="n"/>
      <c r="J97" s="180" t="n"/>
      <c r="K97" s="167" t="n"/>
      <c r="L97" s="180" t="n"/>
      <c r="M97" s="167" t="n"/>
      <c r="N97" s="169" t="n"/>
    </row>
    <row r="98" ht="20" customHeight="1">
      <c r="A98" s="157" t="n">
        <v>93</v>
      </c>
      <c r="B98" s="177" t="n"/>
      <c r="C98" s="159">
        <f>IF(B98="","",IF(MOD(INT(B98/100)+INT(MOD(B98,100)/10)+MOD(B98,10),9)=0,9,MOD(INT(B98/100)+INT(MOD(B98,100)/10)+MOD(B98,10),9)))</f>
        <v/>
      </c>
      <c r="D98" s="160">
        <f>IF(B98="","",IF(INT(B98/100)&gt;=5,"大","小")&amp;IF(INT(MOD(B98,100)/10)&gt;=5,"大","小")&amp;IF(MOD(B98,10)&gt;=5,"大","小"))</f>
        <v/>
      </c>
      <c r="E98" s="159">
        <f>IF(B98="","",IF(MOD(INT(B98/100),2)=0,"双","单")&amp;IF(MOD(INT(MOD(B98,100)/10),2)=0,"双","单")&amp;IF(MOD(MOD(B98,10),2)=0,"双","单"))</f>
        <v/>
      </c>
      <c r="F98" s="161" t="n"/>
      <c r="G98" s="161" t="n"/>
      <c r="H98" s="161" t="n"/>
      <c r="I98" s="161" t="n"/>
      <c r="J98" s="178" t="n"/>
      <c r="K98" s="161" t="n"/>
      <c r="L98" s="178" t="n"/>
      <c r="M98" s="161" t="n"/>
      <c r="N98" s="163" t="n"/>
    </row>
    <row r="99" ht="20" customHeight="1">
      <c r="A99" s="157" t="n">
        <v>94</v>
      </c>
      <c r="B99" s="179" t="n"/>
      <c r="C99" s="165">
        <f>IF(B99="","",IF(MOD(INT(B99/100)+INT(MOD(B99,100)/10)+MOD(B99,10),9)=0,9,MOD(INT(B99/100)+INT(MOD(B99,100)/10)+MOD(B99,10),9)))</f>
        <v/>
      </c>
      <c r="D99" s="166">
        <f>IF(B99="","",IF(INT(B99/100)&gt;=5,"大","小")&amp;IF(INT(MOD(B99,100)/10)&gt;=5,"大","小")&amp;IF(MOD(B99,10)&gt;=5,"大","小"))</f>
        <v/>
      </c>
      <c r="E99" s="165">
        <f>IF(B99="","",IF(MOD(INT(B99/100),2)=0,"双","单")&amp;IF(MOD(INT(MOD(B99,100)/10),2)=0,"双","单")&amp;IF(MOD(MOD(B99,10),2)=0,"双","单"))</f>
        <v/>
      </c>
      <c r="F99" s="167" t="n"/>
      <c r="G99" s="167" t="n"/>
      <c r="H99" s="167" t="n"/>
      <c r="I99" s="167" t="n"/>
      <c r="J99" s="180" t="n"/>
      <c r="K99" s="167" t="n"/>
      <c r="L99" s="180" t="n"/>
      <c r="M99" s="167" t="n"/>
      <c r="N99" s="169" t="n"/>
    </row>
    <row r="100" ht="20" customHeight="1">
      <c r="A100" s="157" t="n">
        <v>95</v>
      </c>
      <c r="B100" s="177" t="n"/>
      <c r="C100" s="159">
        <f>IF(B100="","",IF(MOD(INT(B100/100)+INT(MOD(B100,100)/10)+MOD(B100,10),9)=0,9,MOD(INT(B100/100)+INT(MOD(B100,100)/10)+MOD(B100,10),9)))</f>
        <v/>
      </c>
      <c r="D100" s="160">
        <f>IF(B100="","",IF(INT(B100/100)&gt;=5,"大","小")&amp;IF(INT(MOD(B100,100)/10)&gt;=5,"大","小")&amp;IF(MOD(B100,10)&gt;=5,"大","小"))</f>
        <v/>
      </c>
      <c r="E100" s="159">
        <f>IF(B100="","",IF(MOD(INT(B100/100),2)=0,"双","单")&amp;IF(MOD(INT(MOD(B100,100)/10),2)=0,"双","单")&amp;IF(MOD(MOD(B100,10),2)=0,"双","单"))</f>
        <v/>
      </c>
      <c r="F100" s="161" t="n"/>
      <c r="G100" s="161" t="n"/>
      <c r="H100" s="161" t="n"/>
      <c r="I100" s="161" t="n"/>
      <c r="J100" s="178" t="n"/>
      <c r="K100" s="161" t="n"/>
      <c r="L100" s="178" t="n"/>
      <c r="M100" s="161" t="n"/>
      <c r="N100" s="163" t="n"/>
    </row>
    <row r="101" ht="20" customHeight="1">
      <c r="A101" s="157" t="n">
        <v>96</v>
      </c>
      <c r="B101" s="179" t="n"/>
      <c r="C101" s="165">
        <f>IF(B101="","",IF(MOD(INT(B101/100)+INT(MOD(B101,100)/10)+MOD(B101,10),9)=0,9,MOD(INT(B101/100)+INT(MOD(B101,100)/10)+MOD(B101,10),9)))</f>
        <v/>
      </c>
      <c r="D101" s="166">
        <f>IF(B101="","",IF(INT(B101/100)&gt;=5,"大","小")&amp;IF(INT(MOD(B101,100)/10)&gt;=5,"大","小")&amp;IF(MOD(B101,10)&gt;=5,"大","小"))</f>
        <v/>
      </c>
      <c r="E101" s="165">
        <f>IF(B101="","",IF(MOD(INT(B101/100),2)=0,"双","单")&amp;IF(MOD(INT(MOD(B101,100)/10),2)=0,"双","单")&amp;IF(MOD(MOD(B101,10),2)=0,"双","单"))</f>
        <v/>
      </c>
      <c r="F101" s="167" t="n"/>
      <c r="G101" s="167" t="n"/>
      <c r="H101" s="167" t="n"/>
      <c r="I101" s="167" t="n"/>
      <c r="J101" s="180" t="n"/>
      <c r="K101" s="167" t="n"/>
      <c r="L101" s="180" t="n"/>
      <c r="M101" s="167" t="n"/>
      <c r="N101" s="169" t="n"/>
    </row>
    <row r="102" ht="20" customHeight="1">
      <c r="A102" s="157" t="n">
        <v>97</v>
      </c>
      <c r="B102" s="177" t="n"/>
      <c r="C102" s="159">
        <f>IF(B102="","",IF(MOD(INT(B102/100)+INT(MOD(B102,100)/10)+MOD(B102,10),9)=0,9,MOD(INT(B102/100)+INT(MOD(B102,100)/10)+MOD(B102,10),9)))</f>
        <v/>
      </c>
      <c r="D102" s="160">
        <f>IF(B102="","",IF(INT(B102/100)&gt;=5,"大","小")&amp;IF(INT(MOD(B102,100)/10)&gt;=5,"大","小")&amp;IF(MOD(B102,10)&gt;=5,"大","小"))</f>
        <v/>
      </c>
      <c r="E102" s="159">
        <f>IF(B102="","",IF(MOD(INT(B102/100),2)=0,"双","单")&amp;IF(MOD(INT(MOD(B102,100)/10),2)=0,"双","单")&amp;IF(MOD(MOD(B102,10),2)=0,"双","单"))</f>
        <v/>
      </c>
      <c r="F102" s="161" t="n"/>
      <c r="G102" s="161" t="n"/>
      <c r="H102" s="161" t="n"/>
      <c r="I102" s="161" t="n"/>
      <c r="J102" s="178" t="n"/>
      <c r="K102" s="161" t="n"/>
      <c r="L102" s="178" t="n"/>
      <c r="M102" s="161" t="n"/>
      <c r="N102" s="163" t="n"/>
    </row>
    <row r="103" ht="20" customHeight="1">
      <c r="A103" s="157" t="n">
        <v>98</v>
      </c>
      <c r="B103" s="179" t="n"/>
      <c r="C103" s="165">
        <f>IF(B103="","",IF(MOD(INT(B103/100)+INT(MOD(B103,100)/10)+MOD(B103,10),9)=0,9,MOD(INT(B103/100)+INT(MOD(B103,100)/10)+MOD(B103,10),9)))</f>
        <v/>
      </c>
      <c r="D103" s="166">
        <f>IF(B103="","",IF(INT(B103/100)&gt;=5,"大","小")&amp;IF(INT(MOD(B103,100)/10)&gt;=5,"大","小")&amp;IF(MOD(B103,10)&gt;=5,"大","小"))</f>
        <v/>
      </c>
      <c r="E103" s="165">
        <f>IF(B103="","",IF(MOD(INT(B103/100),2)=0,"双","单")&amp;IF(MOD(INT(MOD(B103,100)/10),2)=0,"双","单")&amp;IF(MOD(MOD(B103,10),2)=0,"双","单"))</f>
        <v/>
      </c>
      <c r="F103" s="167" t="n"/>
      <c r="G103" s="167" t="n"/>
      <c r="H103" s="167" t="n"/>
      <c r="I103" s="167" t="n"/>
      <c r="J103" s="180" t="n"/>
      <c r="K103" s="167" t="n"/>
      <c r="L103" s="180" t="n"/>
      <c r="M103" s="167" t="n"/>
      <c r="N103" s="169" t="n"/>
    </row>
    <row r="104" ht="20" customHeight="1">
      <c r="A104" s="157" t="n">
        <v>99</v>
      </c>
      <c r="B104" s="177" t="n"/>
      <c r="C104" s="159">
        <f>IF(B104="","",IF(MOD(INT(B104/100)+INT(MOD(B104,100)/10)+MOD(B104,10),9)=0,9,MOD(INT(B104/100)+INT(MOD(B104,100)/10)+MOD(B104,10),9)))</f>
        <v/>
      </c>
      <c r="D104" s="160">
        <f>IF(B104="","",IF(INT(B104/100)&gt;=5,"大","小")&amp;IF(INT(MOD(B104,100)/10)&gt;=5,"大","小")&amp;IF(MOD(B104,10)&gt;=5,"大","小"))</f>
        <v/>
      </c>
      <c r="E104" s="159">
        <f>IF(B104="","",IF(MOD(INT(B104/100),2)=0,"双","单")&amp;IF(MOD(INT(MOD(B104,100)/10),2)=0,"双","单")&amp;IF(MOD(MOD(B104,10),2)=0,"双","单"))</f>
        <v/>
      </c>
      <c r="F104" s="161" t="n"/>
      <c r="G104" s="161" t="n"/>
      <c r="H104" s="161" t="n"/>
      <c r="I104" s="161" t="n"/>
      <c r="J104" s="178" t="n"/>
      <c r="K104" s="161" t="n"/>
      <c r="L104" s="178" t="n"/>
      <c r="M104" s="161" t="n"/>
      <c r="N104" s="163" t="n"/>
    </row>
    <row r="105" ht="20" customHeight="1">
      <c r="A105" s="157" t="n">
        <v>100</v>
      </c>
      <c r="B105" s="179" t="n"/>
      <c r="C105" s="165">
        <f>IF(B105="","",IF(MOD(INT(B105/100)+INT(MOD(B105,100)/10)+MOD(B105,10),9)=0,9,MOD(INT(B105/100)+INT(MOD(B105,100)/10)+MOD(B105,10),9)))</f>
        <v/>
      </c>
      <c r="D105" s="166">
        <f>IF(B105="","",IF(INT(B105/100)&gt;=5,"大","小")&amp;IF(INT(MOD(B105,100)/10)&gt;=5,"大","小")&amp;IF(MOD(B105,10)&gt;=5,"大","小"))</f>
        <v/>
      </c>
      <c r="E105" s="165">
        <f>IF(B105="","",IF(MOD(INT(B105/100),2)=0,"双","单")&amp;IF(MOD(INT(MOD(B105,100)/10),2)=0,"双","单")&amp;IF(MOD(MOD(B105,10),2)=0,"双","单"))</f>
        <v/>
      </c>
      <c r="F105" s="167" t="n"/>
      <c r="G105" s="167" t="n"/>
      <c r="H105" s="167" t="n"/>
      <c r="I105" s="167" t="n"/>
      <c r="J105" s="180" t="n"/>
      <c r="K105" s="167" t="n"/>
      <c r="L105" s="180" t="n"/>
      <c r="M105" s="167" t="n"/>
      <c r="N105" s="169" t="n"/>
    </row>
  </sheetData>
  <mergeCells count="2">
    <mergeCell ref="A2:N2"/>
    <mergeCell ref="A4"/>
  </mergeCells>
  <conditionalFormatting sqref="A6:A105">
    <cfRule type="expression" priority="1" dxfId="0">
      <formula>=$F6="活跃"</formula>
    </cfRule>
    <cfRule type="expression" priority="15" dxfId="1">
      <formula>=$F6="推荐"</formula>
    </cfRule>
    <cfRule type="expression" priority="29" dxfId="2">
      <formula>=$F6="规律等待中"</formula>
    </cfRule>
    <cfRule type="expression" priority="43" dxfId="3">
      <formula>=$F6="下半年出现"</formula>
    </cfRule>
    <cfRule type="expression" priority="57" dxfId="4">
      <formula>=$F6="冷号回补"</formula>
    </cfRule>
    <cfRule type="expression" priority="71" dxfId="5">
      <formula>=$F6="观察中"</formula>
    </cfRule>
    <cfRule type="expression" priority="85" dxfId="6">
      <formula>=$F6="已命中"</formula>
    </cfRule>
    <cfRule type="expression" priority="99" dxfId="7">
      <formula>=$F6="忽略"</formula>
    </cfRule>
  </conditionalFormatting>
  <conditionalFormatting sqref="B6:B105">
    <cfRule type="expression" priority="2" dxfId="0">
      <formula>=$F6="活跃"</formula>
    </cfRule>
    <cfRule type="expression" priority="16" dxfId="1">
      <formula>=$F6="推荐"</formula>
    </cfRule>
    <cfRule type="expression" priority="30" dxfId="2">
      <formula>=$F6="规律等待中"</formula>
    </cfRule>
    <cfRule type="expression" priority="44" dxfId="3">
      <formula>=$F6="下半年出现"</formula>
    </cfRule>
    <cfRule type="expression" priority="58" dxfId="4">
      <formula>=$F6="冷号回补"</formula>
    </cfRule>
    <cfRule type="expression" priority="72" dxfId="5">
      <formula>=$F6="观察中"</formula>
    </cfRule>
    <cfRule type="expression" priority="86" dxfId="6">
      <formula>=$F6="已命中"</formula>
    </cfRule>
    <cfRule type="expression" priority="100" dxfId="7">
      <formula>=$F6="忽略"</formula>
    </cfRule>
    <cfRule type="expression" priority="113" dxfId="8">
      <formula>=$G6="★★★ 高"</formula>
    </cfRule>
  </conditionalFormatting>
  <conditionalFormatting sqref="C6:C105">
    <cfRule type="expression" priority="3" dxfId="0">
      <formula>=$F6="活跃"</formula>
    </cfRule>
    <cfRule type="expression" priority="17" dxfId="1">
      <formula>=$F6="推荐"</formula>
    </cfRule>
    <cfRule type="expression" priority="31" dxfId="2">
      <formula>=$F6="规律等待中"</formula>
    </cfRule>
    <cfRule type="expression" priority="45" dxfId="3">
      <formula>=$F6="下半年出现"</formula>
    </cfRule>
    <cfRule type="expression" priority="59" dxfId="4">
      <formula>=$F6="冷号回补"</formula>
    </cfRule>
    <cfRule type="expression" priority="73" dxfId="5">
      <formula>=$F6="观察中"</formula>
    </cfRule>
    <cfRule type="expression" priority="87" dxfId="6">
      <formula>=$F6="已命中"</formula>
    </cfRule>
    <cfRule type="expression" priority="101" dxfId="7">
      <formula>=$F6="忽略"</formula>
    </cfRule>
  </conditionalFormatting>
  <conditionalFormatting sqref="D6:D105">
    <cfRule type="expression" priority="4" dxfId="0">
      <formula>=$F6="活跃"</formula>
    </cfRule>
    <cfRule type="expression" priority="18" dxfId="1">
      <formula>=$F6="推荐"</formula>
    </cfRule>
    <cfRule type="expression" priority="32" dxfId="2">
      <formula>=$F6="规律等待中"</formula>
    </cfRule>
    <cfRule type="expression" priority="46" dxfId="3">
      <formula>=$F6="下半年出现"</formula>
    </cfRule>
    <cfRule type="expression" priority="60" dxfId="4">
      <formula>=$F6="冷号回补"</formula>
    </cfRule>
    <cfRule type="expression" priority="74" dxfId="5">
      <formula>=$F6="观察中"</formula>
    </cfRule>
    <cfRule type="expression" priority="88" dxfId="6">
      <formula>=$F6="已命中"</formula>
    </cfRule>
    <cfRule type="expression" priority="102" dxfId="7">
      <formula>=$F6="忽略"</formula>
    </cfRule>
  </conditionalFormatting>
  <conditionalFormatting sqref="E6:E105">
    <cfRule type="expression" priority="5" dxfId="0">
      <formula>=$F6="活跃"</formula>
    </cfRule>
    <cfRule type="expression" priority="19" dxfId="1">
      <formula>=$F6="推荐"</formula>
    </cfRule>
    <cfRule type="expression" priority="33" dxfId="2">
      <formula>=$F6="规律等待中"</formula>
    </cfRule>
    <cfRule type="expression" priority="47" dxfId="3">
      <formula>=$F6="下半年出现"</formula>
    </cfRule>
    <cfRule type="expression" priority="61" dxfId="4">
      <formula>=$F6="冷号回补"</formula>
    </cfRule>
    <cfRule type="expression" priority="75" dxfId="5">
      <formula>=$F6="观察中"</formula>
    </cfRule>
    <cfRule type="expression" priority="89" dxfId="6">
      <formula>=$F6="已命中"</formula>
    </cfRule>
    <cfRule type="expression" priority="103" dxfId="7">
      <formula>=$F6="忽略"</formula>
    </cfRule>
  </conditionalFormatting>
  <conditionalFormatting sqref="F6:F105">
    <cfRule type="expression" priority="6" dxfId="0">
      <formula>=$F6="活跃"</formula>
    </cfRule>
    <cfRule type="expression" priority="20" dxfId="1">
      <formula>=$F6="推荐"</formula>
    </cfRule>
    <cfRule type="expression" priority="34" dxfId="2">
      <formula>=$F6="规律等待中"</formula>
    </cfRule>
    <cfRule type="expression" priority="48" dxfId="3">
      <formula>=$F6="下半年出现"</formula>
    </cfRule>
    <cfRule type="expression" priority="62" dxfId="4">
      <formula>=$F6="冷号回补"</formula>
    </cfRule>
    <cfRule type="expression" priority="76" dxfId="5">
      <formula>=$F6="观察中"</formula>
    </cfRule>
    <cfRule type="expression" priority="90" dxfId="6">
      <formula>=$F6="已命中"</formula>
    </cfRule>
    <cfRule type="expression" priority="104" dxfId="7">
      <formula>=$F6="忽略"</formula>
    </cfRule>
  </conditionalFormatting>
  <conditionalFormatting sqref="G6:G105">
    <cfRule type="expression" priority="7" dxfId="0">
      <formula>=$F6="活跃"</formula>
    </cfRule>
    <cfRule type="expression" priority="21" dxfId="1">
      <formula>=$F6="推荐"</formula>
    </cfRule>
    <cfRule type="expression" priority="35" dxfId="2">
      <formula>=$F6="规律等待中"</formula>
    </cfRule>
    <cfRule type="expression" priority="49" dxfId="3">
      <formula>=$F6="下半年出现"</formula>
    </cfRule>
    <cfRule type="expression" priority="63" dxfId="4">
      <formula>=$F6="冷号回补"</formula>
    </cfRule>
    <cfRule type="expression" priority="77" dxfId="5">
      <formula>=$F6="观察中"</formula>
    </cfRule>
    <cfRule type="expression" priority="91" dxfId="6">
      <formula>=$F6="已命中"</formula>
    </cfRule>
    <cfRule type="expression" priority="105" dxfId="7">
      <formula>=$F6="忽略"</formula>
    </cfRule>
  </conditionalFormatting>
  <conditionalFormatting sqref="H6:H105">
    <cfRule type="expression" priority="8" dxfId="0">
      <formula>=$F6="活跃"</formula>
    </cfRule>
    <cfRule type="expression" priority="22" dxfId="1">
      <formula>=$F6="推荐"</formula>
    </cfRule>
    <cfRule type="expression" priority="36" dxfId="2">
      <formula>=$F6="规律等待中"</formula>
    </cfRule>
    <cfRule type="expression" priority="50" dxfId="3">
      <formula>=$F6="下半年出现"</formula>
    </cfRule>
    <cfRule type="expression" priority="64" dxfId="4">
      <formula>=$F6="冷号回补"</formula>
    </cfRule>
    <cfRule type="expression" priority="78" dxfId="5">
      <formula>=$F6="观察中"</formula>
    </cfRule>
    <cfRule type="expression" priority="92" dxfId="6">
      <formula>=$F6="已命中"</formula>
    </cfRule>
    <cfRule type="expression" priority="106" dxfId="7">
      <formula>=$F6="忽略"</formula>
    </cfRule>
  </conditionalFormatting>
  <conditionalFormatting sqref="I6:I105">
    <cfRule type="expression" priority="9" dxfId="0">
      <formula>=$F6="活跃"</formula>
    </cfRule>
    <cfRule type="expression" priority="23" dxfId="1">
      <formula>=$F6="推荐"</formula>
    </cfRule>
    <cfRule type="expression" priority="37" dxfId="2">
      <formula>=$F6="规律等待中"</formula>
    </cfRule>
    <cfRule type="expression" priority="51" dxfId="3">
      <formula>=$F6="下半年出现"</formula>
    </cfRule>
    <cfRule type="expression" priority="65" dxfId="4">
      <formula>=$F6="冷号回补"</formula>
    </cfRule>
    <cfRule type="expression" priority="79" dxfId="5">
      <formula>=$F6="观察中"</formula>
    </cfRule>
    <cfRule type="expression" priority="93" dxfId="6">
      <formula>=$F6="已命中"</formula>
    </cfRule>
    <cfRule type="expression" priority="107" dxfId="7">
      <formula>=$F6="忽略"</formula>
    </cfRule>
  </conditionalFormatting>
  <conditionalFormatting sqref="J6:J105">
    <cfRule type="expression" priority="10" dxfId="0">
      <formula>=$F6="活跃"</formula>
    </cfRule>
    <cfRule type="expression" priority="24" dxfId="1">
      <formula>=$F6="推荐"</formula>
    </cfRule>
    <cfRule type="expression" priority="38" dxfId="2">
      <formula>=$F6="规律等待中"</formula>
    </cfRule>
    <cfRule type="expression" priority="52" dxfId="3">
      <formula>=$F6="下半年出现"</formula>
    </cfRule>
    <cfRule type="expression" priority="66" dxfId="4">
      <formula>=$F6="冷号回补"</formula>
    </cfRule>
    <cfRule type="expression" priority="80" dxfId="5">
      <formula>=$F6="观察中"</formula>
    </cfRule>
    <cfRule type="expression" priority="94" dxfId="6">
      <formula>=$F6="已命中"</formula>
    </cfRule>
    <cfRule type="expression" priority="108" dxfId="7">
      <formula>=$F6="忽略"</formula>
    </cfRule>
  </conditionalFormatting>
  <conditionalFormatting sqref="K6:K105">
    <cfRule type="expression" priority="11" dxfId="0">
      <formula>=$F6="活跃"</formula>
    </cfRule>
    <cfRule type="expression" priority="25" dxfId="1">
      <formula>=$F6="推荐"</formula>
    </cfRule>
    <cfRule type="expression" priority="39" dxfId="2">
      <formula>=$F6="规律等待中"</formula>
    </cfRule>
    <cfRule type="expression" priority="53" dxfId="3">
      <formula>=$F6="下半年出现"</formula>
    </cfRule>
    <cfRule type="expression" priority="67" dxfId="4">
      <formula>=$F6="冷号回补"</formula>
    </cfRule>
    <cfRule type="expression" priority="81" dxfId="5">
      <formula>=$F6="观察中"</formula>
    </cfRule>
    <cfRule type="expression" priority="95" dxfId="6">
      <formula>=$F6="已命中"</formula>
    </cfRule>
    <cfRule type="expression" priority="109" dxfId="7">
      <formula>=$F6="忽略"</formula>
    </cfRule>
  </conditionalFormatting>
  <conditionalFormatting sqref="L6:L105">
    <cfRule type="expression" priority="12" dxfId="0">
      <formula>=$F6="活跃"</formula>
    </cfRule>
    <cfRule type="expression" priority="26" dxfId="1">
      <formula>=$F6="推荐"</formula>
    </cfRule>
    <cfRule type="expression" priority="40" dxfId="2">
      <formula>=$F6="规律等待中"</formula>
    </cfRule>
    <cfRule type="expression" priority="54" dxfId="3">
      <formula>=$F6="下半年出现"</formula>
    </cfRule>
    <cfRule type="expression" priority="68" dxfId="4">
      <formula>=$F6="冷号回补"</formula>
    </cfRule>
    <cfRule type="expression" priority="82" dxfId="5">
      <formula>=$F6="观察中"</formula>
    </cfRule>
    <cfRule type="expression" priority="96" dxfId="6">
      <formula>=$F6="已命中"</formula>
    </cfRule>
    <cfRule type="expression" priority="110" dxfId="7">
      <formula>=$F6="忽略"</formula>
    </cfRule>
  </conditionalFormatting>
  <conditionalFormatting sqref="M6:M105">
    <cfRule type="expression" priority="13" dxfId="0">
      <formula>=$F6="活跃"</formula>
    </cfRule>
    <cfRule type="expression" priority="27" dxfId="1">
      <formula>=$F6="推荐"</formula>
    </cfRule>
    <cfRule type="expression" priority="41" dxfId="2">
      <formula>=$F6="规律等待中"</formula>
    </cfRule>
    <cfRule type="expression" priority="55" dxfId="3">
      <formula>=$F6="下半年出现"</formula>
    </cfRule>
    <cfRule type="expression" priority="69" dxfId="4">
      <formula>=$F6="冷号回补"</formula>
    </cfRule>
    <cfRule type="expression" priority="83" dxfId="5">
      <formula>=$F6="观察中"</formula>
    </cfRule>
    <cfRule type="expression" priority="97" dxfId="6">
      <formula>=$F6="已命中"</formula>
    </cfRule>
    <cfRule type="expression" priority="111" dxfId="7">
      <formula>=$F6="忽略"</formula>
    </cfRule>
    <cfRule type="expression" priority="114" dxfId="9">
      <formula>=LEFT($M6,1)="✅"</formula>
    </cfRule>
    <cfRule type="expression" priority="115" dxfId="10">
      <formula>=LEFT($M6,1)="❌"</formula>
    </cfRule>
  </conditionalFormatting>
  <conditionalFormatting sqref="N6:N105">
    <cfRule type="expression" priority="14" dxfId="0">
      <formula>=$F6="活跃"</formula>
    </cfRule>
    <cfRule type="expression" priority="28" dxfId="1">
      <formula>=$F6="推荐"</formula>
    </cfRule>
    <cfRule type="expression" priority="42" dxfId="2">
      <formula>=$F6="规律等待中"</formula>
    </cfRule>
    <cfRule type="expression" priority="56" dxfId="3">
      <formula>=$F6="下半年出现"</formula>
    </cfRule>
    <cfRule type="expression" priority="70" dxfId="4">
      <formula>=$F6="冷号回补"</formula>
    </cfRule>
    <cfRule type="expression" priority="84" dxfId="5">
      <formula>=$F6="观察中"</formula>
    </cfRule>
    <cfRule type="expression" priority="98" dxfId="6">
      <formula>=$F6="已命中"</formula>
    </cfRule>
    <cfRule type="expression" priority="112" dxfId="7">
      <formula>=$F6="忽略"</formula>
    </cfRule>
  </conditionalFormatting>
  <dataValidations count="4">
    <dataValidation sqref="F6:F105" showDropDown="0" showInputMessage="0" showErrorMessage="0" allowBlank="1" type="list">
      <formula1>"活跃,推荐,规律等待中,下半年出现,冷号回补,观察中,已命中,忽略"</formula1>
    </dataValidation>
    <dataValidation sqref="G6:G105" showDropDown="0" showInputMessage="0" showErrorMessage="0" allowBlank="1" type="list">
      <formula1>"★★★ 高,★★ 中,★ 低"</formula1>
    </dataValidation>
    <dataValidation sqref="H6:H105" showDropDown="0" showInputMessage="0" showErrorMessage="0" allowBlank="1" type="list">
      <formula1>"万能,跑马,多多,新加坡,豪龙,全部"</formula1>
    </dataValidation>
    <dataValidation sqref="M6:M105" showDropDown="0" showInputMessage="0" showErrorMessage="0" allowBlank="1" type="list">
      <formula1>"✅ 命中,❌ 未中,— 待验证"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40AF"/>
    <outlinePr summaryBelow="1" summaryRight="1"/>
    <pageSetUpPr/>
  </sheetPr>
  <dimension ref="A2:P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7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25" customWidth="1" min="16" max="16"/>
  </cols>
  <sheetData>
    <row r="1" ht="6" customHeight="1"/>
    <row r="2" ht="32" customHeight="1">
      <c r="A2" s="170" t="inlineStr">
        <is>
          <t>📂 4D 号码归档 — 含打数·点数·前后3D 自动分解 · 状态追踪</t>
        </is>
      </c>
    </row>
    <row r="3" ht="18" customHeight="1">
      <c r="B3" s="131" t="inlineStr">
        <is>
          <t>活跃</t>
        </is>
      </c>
      <c r="C3" s="132" t="inlineStr">
        <is>
          <t>推荐</t>
        </is>
      </c>
      <c r="D3" s="133" t="inlineStr">
        <is>
          <t>规律等待中</t>
        </is>
      </c>
      <c r="E3" s="134" t="inlineStr">
        <is>
          <t>下半年出现</t>
        </is>
      </c>
      <c r="F3" s="135" t="inlineStr">
        <is>
          <t>冷号回补</t>
        </is>
      </c>
      <c r="G3" s="136" t="inlineStr">
        <is>
          <t>观察中</t>
        </is>
      </c>
      <c r="H3" s="137" t="inlineStr">
        <is>
          <t>已命中</t>
        </is>
      </c>
      <c r="I3" s="138" t="inlineStr">
        <is>
          <t>忽略</t>
        </is>
      </c>
    </row>
    <row r="4" ht="18" customHeight="1">
      <c r="A4" s="139" t="inlineStr">
        <is>
          <t>统计</t>
        </is>
      </c>
      <c r="B4" s="140">
        <f>COUNTIF(H6:H105,"活跃")</f>
        <v/>
      </c>
      <c r="C4" s="141">
        <f>COUNTIF(H6:H105,"推荐")</f>
        <v/>
      </c>
      <c r="D4" s="142">
        <f>COUNTIF(H6:H105,"规律等待中")</f>
        <v/>
      </c>
      <c r="E4" s="143">
        <f>COUNTIF(H6:H105,"下半年出现")</f>
        <v/>
      </c>
      <c r="F4" s="144">
        <f>COUNTIF(H6:H105,"冷号回补")</f>
        <v/>
      </c>
      <c r="G4" s="145">
        <f>COUNTIF(H6:H105,"观察中")</f>
        <v/>
      </c>
      <c r="H4" s="146">
        <f>COUNTIF(H6:H105,"已命中")</f>
        <v/>
      </c>
      <c r="I4" s="147">
        <f>COUNTIF(H6:H105,"忽略")</f>
        <v/>
      </c>
    </row>
    <row r="5" ht="22" customHeight="1">
      <c r="A5" s="148" t="inlineStr">
        <is>
          <t>#</t>
        </is>
      </c>
      <c r="B5" s="150" t="inlineStr">
        <is>
          <t>4D号码</t>
        </is>
      </c>
      <c r="C5" s="151" t="inlineStr">
        <is>
          <t>数根</t>
        </is>
      </c>
      <c r="D5" s="154" t="inlineStr">
        <is>
          <t>点数</t>
        </is>
      </c>
      <c r="E5" s="153" t="inlineStr">
        <is>
          <t>打数</t>
        </is>
      </c>
      <c r="F5" s="149" t="inlineStr">
        <is>
          <t>前3D</t>
        </is>
      </c>
      <c r="G5" s="152" t="inlineStr">
        <is>
          <t>后3D</t>
        </is>
      </c>
      <c r="H5" s="152" t="inlineStr">
        <is>
          <t>状态</t>
        </is>
      </c>
      <c r="I5" s="153" t="inlineStr">
        <is>
          <t>优先级</t>
        </is>
      </c>
      <c r="J5" s="148" t="inlineStr">
        <is>
          <t>市场</t>
        </is>
      </c>
      <c r="K5" s="154" t="inlineStr">
        <is>
          <t>近50期次数</t>
        </is>
      </c>
      <c r="L5" s="154" t="inlineStr">
        <is>
          <t>上次出现</t>
        </is>
      </c>
      <c r="M5" s="154" t="inlineStr">
        <is>
          <t>已过期(期)</t>
        </is>
      </c>
      <c r="N5" s="155" t="inlineStr">
        <is>
          <t>预测出现</t>
        </is>
      </c>
      <c r="O5" s="156" t="inlineStr">
        <is>
          <t>验证</t>
        </is>
      </c>
      <c r="P5" s="148" t="inlineStr">
        <is>
          <t>备注/理由</t>
        </is>
      </c>
    </row>
    <row r="6" ht="20" customHeight="1">
      <c r="A6" s="157" t="n">
        <v>1</v>
      </c>
      <c r="B6" s="171" t="n"/>
      <c r="C6" s="159">
        <f>IF(B6="","",IF(MOD(INT(B6/1000)+INT(MOD(B6,1000)/100)+INT(MOD(B6,100)/10)+MOD(B6,10),9)=0,9,MOD(INT(B6/1000)+INT(MOD(B6,1000)/100)+INT(MOD(B6,100)/10)+MOD(B6,10),9)))</f>
        <v/>
      </c>
      <c r="D6" s="161">
        <f>IF(B6="","",INT(B6/1000)+INT(MOD(B6,1000)/100)+INT(MOD(B6,100)/10)+MOD(B6,10))</f>
        <v/>
      </c>
      <c r="E6" s="172">
        <f>IF(B6="","",LET(d1,INT(B6/1000),d2,INT(MOD(B6,1000)/100),d3,INT(MOD(B6,100)/10),d4,MOD(B6,10),p,(d1=d2)+(d1=d3)+(d1=d4)+(d2=d3)+(d2=d4)+(d3=d4),IF(p=6,"1打(豹子)",IF(p=3,"4打",IF(p=2,"6打",IF(p=1,"12打","24打"))))))</f>
        <v/>
      </c>
      <c r="F6" s="177">
        <f>IF(B6="","",INT(B6/10))</f>
        <v/>
      </c>
      <c r="G6" s="181">
        <f>IF(B6="","",MOD(B6,1000))</f>
        <v/>
      </c>
      <c r="H6" s="161" t="n"/>
      <c r="I6" s="161" t="n"/>
      <c r="J6" s="161" t="n"/>
      <c r="K6" s="161" t="n"/>
      <c r="L6" s="178" t="n"/>
      <c r="M6" s="161" t="n"/>
      <c r="N6" s="178" t="n"/>
      <c r="O6" s="161" t="n"/>
      <c r="P6" s="163" t="n"/>
    </row>
    <row r="7" ht="20" customHeight="1">
      <c r="A7" s="157" t="n">
        <v>2</v>
      </c>
      <c r="B7" s="174" t="n"/>
      <c r="C7" s="165">
        <f>IF(B7="","",IF(MOD(INT(B7/1000)+INT(MOD(B7,1000)/100)+INT(MOD(B7,100)/10)+MOD(B7,10),9)=0,9,MOD(INT(B7/1000)+INT(MOD(B7,1000)/100)+INT(MOD(B7,100)/10)+MOD(B7,10),9)))</f>
        <v/>
      </c>
      <c r="D7" s="167">
        <f>IF(B7="","",INT(B7/1000)+INT(MOD(B7,1000)/100)+INT(MOD(B7,100)/10)+MOD(B7,10))</f>
        <v/>
      </c>
      <c r="E7" s="175">
        <f>IF(B7="","",LET(d1,INT(B7/1000),d2,INT(MOD(B7,1000)/100),d3,INT(MOD(B7,100)/10),d4,MOD(B7,10),p,(d1=d2)+(d1=d3)+(d1=d4)+(d2=d3)+(d2=d4)+(d3=d4),IF(p=6,"1打(豹子)",IF(p=3,"4打",IF(p=2,"6打",IF(p=1,"12打","24打"))))))</f>
        <v/>
      </c>
      <c r="F7" s="179">
        <f>IF(B7="","",INT(B7/10))</f>
        <v/>
      </c>
      <c r="G7" s="182">
        <f>IF(B7="","",MOD(B7,1000))</f>
        <v/>
      </c>
      <c r="H7" s="167" t="n"/>
      <c r="I7" s="167" t="n"/>
      <c r="J7" s="167" t="n"/>
      <c r="K7" s="167" t="n"/>
      <c r="L7" s="180" t="n"/>
      <c r="M7" s="167" t="n"/>
      <c r="N7" s="180" t="n"/>
      <c r="O7" s="167" t="n"/>
      <c r="P7" s="169" t="n"/>
    </row>
    <row r="8" ht="20" customHeight="1">
      <c r="A8" s="157" t="n">
        <v>3</v>
      </c>
      <c r="B8" s="171" t="n"/>
      <c r="C8" s="159">
        <f>IF(B8="","",IF(MOD(INT(B8/1000)+INT(MOD(B8,1000)/100)+INT(MOD(B8,100)/10)+MOD(B8,10),9)=0,9,MOD(INT(B8/1000)+INT(MOD(B8,1000)/100)+INT(MOD(B8,100)/10)+MOD(B8,10),9)))</f>
        <v/>
      </c>
      <c r="D8" s="161">
        <f>IF(B8="","",INT(B8/1000)+INT(MOD(B8,1000)/100)+INT(MOD(B8,100)/10)+MOD(B8,10))</f>
        <v/>
      </c>
      <c r="E8" s="172">
        <f>IF(B8="","",LET(d1,INT(B8/1000),d2,INT(MOD(B8,1000)/100),d3,INT(MOD(B8,100)/10),d4,MOD(B8,10),p,(d1=d2)+(d1=d3)+(d1=d4)+(d2=d3)+(d2=d4)+(d3=d4),IF(p=6,"1打(豹子)",IF(p=3,"4打",IF(p=2,"6打",IF(p=1,"12打","24打"))))))</f>
        <v/>
      </c>
      <c r="F8" s="177">
        <f>IF(B8="","",INT(B8/10))</f>
        <v/>
      </c>
      <c r="G8" s="181">
        <f>IF(B8="","",MOD(B8,1000))</f>
        <v/>
      </c>
      <c r="H8" s="161" t="n"/>
      <c r="I8" s="161" t="n"/>
      <c r="J8" s="161" t="n"/>
      <c r="K8" s="161" t="n"/>
      <c r="L8" s="178" t="n"/>
      <c r="M8" s="161" t="n"/>
      <c r="N8" s="178" t="n"/>
      <c r="O8" s="161" t="n"/>
      <c r="P8" s="163" t="n"/>
    </row>
    <row r="9" ht="20" customHeight="1">
      <c r="A9" s="157" t="n">
        <v>4</v>
      </c>
      <c r="B9" s="174" t="n"/>
      <c r="C9" s="165">
        <f>IF(B9="","",IF(MOD(INT(B9/1000)+INT(MOD(B9,1000)/100)+INT(MOD(B9,100)/10)+MOD(B9,10),9)=0,9,MOD(INT(B9/1000)+INT(MOD(B9,1000)/100)+INT(MOD(B9,100)/10)+MOD(B9,10),9)))</f>
        <v/>
      </c>
      <c r="D9" s="167">
        <f>IF(B9="","",INT(B9/1000)+INT(MOD(B9,1000)/100)+INT(MOD(B9,100)/10)+MOD(B9,10))</f>
        <v/>
      </c>
      <c r="E9" s="175">
        <f>IF(B9="","",LET(d1,INT(B9/1000),d2,INT(MOD(B9,1000)/100),d3,INT(MOD(B9,100)/10),d4,MOD(B9,10),p,(d1=d2)+(d1=d3)+(d1=d4)+(d2=d3)+(d2=d4)+(d3=d4),IF(p=6,"1打(豹子)",IF(p=3,"4打",IF(p=2,"6打",IF(p=1,"12打","24打"))))))</f>
        <v/>
      </c>
      <c r="F9" s="179">
        <f>IF(B9="","",INT(B9/10))</f>
        <v/>
      </c>
      <c r="G9" s="182">
        <f>IF(B9="","",MOD(B9,1000))</f>
        <v/>
      </c>
      <c r="H9" s="167" t="n"/>
      <c r="I9" s="167" t="n"/>
      <c r="J9" s="167" t="n"/>
      <c r="K9" s="167" t="n"/>
      <c r="L9" s="180" t="n"/>
      <c r="M9" s="167" t="n"/>
      <c r="N9" s="180" t="n"/>
      <c r="O9" s="167" t="n"/>
      <c r="P9" s="169" t="n"/>
    </row>
    <row r="10" ht="20" customHeight="1">
      <c r="A10" s="157" t="n">
        <v>5</v>
      </c>
      <c r="B10" s="171" t="n"/>
      <c r="C10" s="159">
        <f>IF(B10="","",IF(MOD(INT(B10/1000)+INT(MOD(B10,1000)/100)+INT(MOD(B10,100)/10)+MOD(B10,10),9)=0,9,MOD(INT(B10/1000)+INT(MOD(B10,1000)/100)+INT(MOD(B10,100)/10)+MOD(B10,10),9)))</f>
        <v/>
      </c>
      <c r="D10" s="161">
        <f>IF(B10="","",INT(B10/1000)+INT(MOD(B10,1000)/100)+INT(MOD(B10,100)/10)+MOD(B10,10))</f>
        <v/>
      </c>
      <c r="E10" s="172">
        <f>IF(B10="","",LET(d1,INT(B10/1000),d2,INT(MOD(B10,1000)/100),d3,INT(MOD(B10,100)/10),d4,MOD(B10,10),p,(d1=d2)+(d1=d3)+(d1=d4)+(d2=d3)+(d2=d4)+(d3=d4),IF(p=6,"1打(豹子)",IF(p=3,"4打",IF(p=2,"6打",IF(p=1,"12打","24打"))))))</f>
        <v/>
      </c>
      <c r="F10" s="177">
        <f>IF(B10="","",INT(B10/10))</f>
        <v/>
      </c>
      <c r="G10" s="181">
        <f>IF(B10="","",MOD(B10,1000))</f>
        <v/>
      </c>
      <c r="H10" s="161" t="n"/>
      <c r="I10" s="161" t="n"/>
      <c r="J10" s="161" t="n"/>
      <c r="K10" s="161" t="n"/>
      <c r="L10" s="178" t="n"/>
      <c r="M10" s="161" t="n"/>
      <c r="N10" s="178" t="n"/>
      <c r="O10" s="161" t="n"/>
      <c r="P10" s="163" t="n"/>
    </row>
    <row r="11" ht="20" customHeight="1">
      <c r="A11" s="157" t="n">
        <v>6</v>
      </c>
      <c r="B11" s="174" t="n"/>
      <c r="C11" s="165">
        <f>IF(B11="","",IF(MOD(INT(B11/1000)+INT(MOD(B11,1000)/100)+INT(MOD(B11,100)/10)+MOD(B11,10),9)=0,9,MOD(INT(B11/1000)+INT(MOD(B11,1000)/100)+INT(MOD(B11,100)/10)+MOD(B11,10),9)))</f>
        <v/>
      </c>
      <c r="D11" s="167">
        <f>IF(B11="","",INT(B11/1000)+INT(MOD(B11,1000)/100)+INT(MOD(B11,100)/10)+MOD(B11,10))</f>
        <v/>
      </c>
      <c r="E11" s="175">
        <f>IF(B11="","",LET(d1,INT(B11/1000),d2,INT(MOD(B11,1000)/100),d3,INT(MOD(B11,100)/10),d4,MOD(B11,10),p,(d1=d2)+(d1=d3)+(d1=d4)+(d2=d3)+(d2=d4)+(d3=d4),IF(p=6,"1打(豹子)",IF(p=3,"4打",IF(p=2,"6打",IF(p=1,"12打","24打"))))))</f>
        <v/>
      </c>
      <c r="F11" s="179">
        <f>IF(B11="","",INT(B11/10))</f>
        <v/>
      </c>
      <c r="G11" s="182">
        <f>IF(B11="","",MOD(B11,1000))</f>
        <v/>
      </c>
      <c r="H11" s="167" t="n"/>
      <c r="I11" s="167" t="n"/>
      <c r="J11" s="167" t="n"/>
      <c r="K11" s="167" t="n"/>
      <c r="L11" s="180" t="n"/>
      <c r="M11" s="167" t="n"/>
      <c r="N11" s="180" t="n"/>
      <c r="O11" s="167" t="n"/>
      <c r="P11" s="169" t="n"/>
    </row>
    <row r="12" ht="20" customHeight="1">
      <c r="A12" s="157" t="n">
        <v>7</v>
      </c>
      <c r="B12" s="171" t="n"/>
      <c r="C12" s="159">
        <f>IF(B12="","",IF(MOD(INT(B12/1000)+INT(MOD(B12,1000)/100)+INT(MOD(B12,100)/10)+MOD(B12,10),9)=0,9,MOD(INT(B12/1000)+INT(MOD(B12,1000)/100)+INT(MOD(B12,100)/10)+MOD(B12,10),9)))</f>
        <v/>
      </c>
      <c r="D12" s="161">
        <f>IF(B12="","",INT(B12/1000)+INT(MOD(B12,1000)/100)+INT(MOD(B12,100)/10)+MOD(B12,10))</f>
        <v/>
      </c>
      <c r="E12" s="172">
        <f>IF(B12="","",LET(d1,INT(B12/1000),d2,INT(MOD(B12,1000)/100),d3,INT(MOD(B12,100)/10),d4,MOD(B12,10),p,(d1=d2)+(d1=d3)+(d1=d4)+(d2=d3)+(d2=d4)+(d3=d4),IF(p=6,"1打(豹子)",IF(p=3,"4打",IF(p=2,"6打",IF(p=1,"12打","24打"))))))</f>
        <v/>
      </c>
      <c r="F12" s="177">
        <f>IF(B12="","",INT(B12/10))</f>
        <v/>
      </c>
      <c r="G12" s="181">
        <f>IF(B12="","",MOD(B12,1000))</f>
        <v/>
      </c>
      <c r="H12" s="161" t="n"/>
      <c r="I12" s="161" t="n"/>
      <c r="J12" s="161" t="n"/>
      <c r="K12" s="161" t="n"/>
      <c r="L12" s="178" t="n"/>
      <c r="M12" s="161" t="n"/>
      <c r="N12" s="178" t="n"/>
      <c r="O12" s="161" t="n"/>
      <c r="P12" s="163" t="n"/>
    </row>
    <row r="13" ht="20" customHeight="1">
      <c r="A13" s="157" t="n">
        <v>8</v>
      </c>
      <c r="B13" s="174" t="n"/>
      <c r="C13" s="165">
        <f>IF(B13="","",IF(MOD(INT(B13/1000)+INT(MOD(B13,1000)/100)+INT(MOD(B13,100)/10)+MOD(B13,10),9)=0,9,MOD(INT(B13/1000)+INT(MOD(B13,1000)/100)+INT(MOD(B13,100)/10)+MOD(B13,10),9)))</f>
        <v/>
      </c>
      <c r="D13" s="167">
        <f>IF(B13="","",INT(B13/1000)+INT(MOD(B13,1000)/100)+INT(MOD(B13,100)/10)+MOD(B13,10))</f>
        <v/>
      </c>
      <c r="E13" s="175">
        <f>IF(B13="","",LET(d1,INT(B13/1000),d2,INT(MOD(B13,1000)/100),d3,INT(MOD(B13,100)/10),d4,MOD(B13,10),p,(d1=d2)+(d1=d3)+(d1=d4)+(d2=d3)+(d2=d4)+(d3=d4),IF(p=6,"1打(豹子)",IF(p=3,"4打",IF(p=2,"6打",IF(p=1,"12打","24打"))))))</f>
        <v/>
      </c>
      <c r="F13" s="179">
        <f>IF(B13="","",INT(B13/10))</f>
        <v/>
      </c>
      <c r="G13" s="182">
        <f>IF(B13="","",MOD(B13,1000))</f>
        <v/>
      </c>
      <c r="H13" s="167" t="n"/>
      <c r="I13" s="167" t="n"/>
      <c r="J13" s="167" t="n"/>
      <c r="K13" s="167" t="n"/>
      <c r="L13" s="180" t="n"/>
      <c r="M13" s="167" t="n"/>
      <c r="N13" s="180" t="n"/>
      <c r="O13" s="167" t="n"/>
      <c r="P13" s="169" t="n"/>
    </row>
    <row r="14" ht="20" customHeight="1">
      <c r="A14" s="157" t="n">
        <v>9</v>
      </c>
      <c r="B14" s="171" t="n"/>
      <c r="C14" s="159">
        <f>IF(B14="","",IF(MOD(INT(B14/1000)+INT(MOD(B14,1000)/100)+INT(MOD(B14,100)/10)+MOD(B14,10),9)=0,9,MOD(INT(B14/1000)+INT(MOD(B14,1000)/100)+INT(MOD(B14,100)/10)+MOD(B14,10),9)))</f>
        <v/>
      </c>
      <c r="D14" s="161">
        <f>IF(B14="","",INT(B14/1000)+INT(MOD(B14,1000)/100)+INT(MOD(B14,100)/10)+MOD(B14,10))</f>
        <v/>
      </c>
      <c r="E14" s="172">
        <f>IF(B14="","",LET(d1,INT(B14/1000),d2,INT(MOD(B14,1000)/100),d3,INT(MOD(B14,100)/10),d4,MOD(B14,10),p,(d1=d2)+(d1=d3)+(d1=d4)+(d2=d3)+(d2=d4)+(d3=d4),IF(p=6,"1打(豹子)",IF(p=3,"4打",IF(p=2,"6打",IF(p=1,"12打","24打"))))))</f>
        <v/>
      </c>
      <c r="F14" s="177">
        <f>IF(B14="","",INT(B14/10))</f>
        <v/>
      </c>
      <c r="G14" s="181">
        <f>IF(B14="","",MOD(B14,1000))</f>
        <v/>
      </c>
      <c r="H14" s="161" t="n"/>
      <c r="I14" s="161" t="n"/>
      <c r="J14" s="161" t="n"/>
      <c r="K14" s="161" t="n"/>
      <c r="L14" s="178" t="n"/>
      <c r="M14" s="161" t="n"/>
      <c r="N14" s="178" t="n"/>
      <c r="O14" s="161" t="n"/>
      <c r="P14" s="163" t="n"/>
    </row>
    <row r="15" ht="20" customHeight="1">
      <c r="A15" s="157" t="n">
        <v>10</v>
      </c>
      <c r="B15" s="174" t="n"/>
      <c r="C15" s="165">
        <f>IF(B15="","",IF(MOD(INT(B15/1000)+INT(MOD(B15,1000)/100)+INT(MOD(B15,100)/10)+MOD(B15,10),9)=0,9,MOD(INT(B15/1000)+INT(MOD(B15,1000)/100)+INT(MOD(B15,100)/10)+MOD(B15,10),9)))</f>
        <v/>
      </c>
      <c r="D15" s="167">
        <f>IF(B15="","",INT(B15/1000)+INT(MOD(B15,1000)/100)+INT(MOD(B15,100)/10)+MOD(B15,10))</f>
        <v/>
      </c>
      <c r="E15" s="175">
        <f>IF(B15="","",LET(d1,INT(B15/1000),d2,INT(MOD(B15,1000)/100),d3,INT(MOD(B15,100)/10),d4,MOD(B15,10),p,(d1=d2)+(d1=d3)+(d1=d4)+(d2=d3)+(d2=d4)+(d3=d4),IF(p=6,"1打(豹子)",IF(p=3,"4打",IF(p=2,"6打",IF(p=1,"12打","24打"))))))</f>
        <v/>
      </c>
      <c r="F15" s="179">
        <f>IF(B15="","",INT(B15/10))</f>
        <v/>
      </c>
      <c r="G15" s="182">
        <f>IF(B15="","",MOD(B15,1000))</f>
        <v/>
      </c>
      <c r="H15" s="167" t="n"/>
      <c r="I15" s="167" t="n"/>
      <c r="J15" s="167" t="n"/>
      <c r="K15" s="167" t="n"/>
      <c r="L15" s="180" t="n"/>
      <c r="M15" s="167" t="n"/>
      <c r="N15" s="180" t="n"/>
      <c r="O15" s="167" t="n"/>
      <c r="P15" s="169" t="n"/>
    </row>
    <row r="16" ht="20" customHeight="1">
      <c r="A16" s="157" t="n">
        <v>11</v>
      </c>
      <c r="B16" s="171" t="n"/>
      <c r="C16" s="159">
        <f>IF(B16="","",IF(MOD(INT(B16/1000)+INT(MOD(B16,1000)/100)+INT(MOD(B16,100)/10)+MOD(B16,10),9)=0,9,MOD(INT(B16/1000)+INT(MOD(B16,1000)/100)+INT(MOD(B16,100)/10)+MOD(B16,10),9)))</f>
        <v/>
      </c>
      <c r="D16" s="161">
        <f>IF(B16="","",INT(B16/1000)+INT(MOD(B16,1000)/100)+INT(MOD(B16,100)/10)+MOD(B16,10))</f>
        <v/>
      </c>
      <c r="E16" s="172">
        <f>IF(B16="","",LET(d1,INT(B16/1000),d2,INT(MOD(B16,1000)/100),d3,INT(MOD(B16,100)/10),d4,MOD(B16,10),p,(d1=d2)+(d1=d3)+(d1=d4)+(d2=d3)+(d2=d4)+(d3=d4),IF(p=6,"1打(豹子)",IF(p=3,"4打",IF(p=2,"6打",IF(p=1,"12打","24打"))))))</f>
        <v/>
      </c>
      <c r="F16" s="177">
        <f>IF(B16="","",INT(B16/10))</f>
        <v/>
      </c>
      <c r="G16" s="181">
        <f>IF(B16="","",MOD(B16,1000))</f>
        <v/>
      </c>
      <c r="H16" s="161" t="n"/>
      <c r="I16" s="161" t="n"/>
      <c r="J16" s="161" t="n"/>
      <c r="K16" s="161" t="n"/>
      <c r="L16" s="178" t="n"/>
      <c r="M16" s="161" t="n"/>
      <c r="N16" s="178" t="n"/>
      <c r="O16" s="161" t="n"/>
      <c r="P16" s="163" t="n"/>
    </row>
    <row r="17" ht="20" customHeight="1">
      <c r="A17" s="157" t="n">
        <v>12</v>
      </c>
      <c r="B17" s="174" t="n"/>
      <c r="C17" s="165">
        <f>IF(B17="","",IF(MOD(INT(B17/1000)+INT(MOD(B17,1000)/100)+INT(MOD(B17,100)/10)+MOD(B17,10),9)=0,9,MOD(INT(B17/1000)+INT(MOD(B17,1000)/100)+INT(MOD(B17,100)/10)+MOD(B17,10),9)))</f>
        <v/>
      </c>
      <c r="D17" s="167">
        <f>IF(B17="","",INT(B17/1000)+INT(MOD(B17,1000)/100)+INT(MOD(B17,100)/10)+MOD(B17,10))</f>
        <v/>
      </c>
      <c r="E17" s="175">
        <f>IF(B17="","",LET(d1,INT(B17/1000),d2,INT(MOD(B17,1000)/100),d3,INT(MOD(B17,100)/10),d4,MOD(B17,10),p,(d1=d2)+(d1=d3)+(d1=d4)+(d2=d3)+(d2=d4)+(d3=d4),IF(p=6,"1打(豹子)",IF(p=3,"4打",IF(p=2,"6打",IF(p=1,"12打","24打"))))))</f>
        <v/>
      </c>
      <c r="F17" s="179">
        <f>IF(B17="","",INT(B17/10))</f>
        <v/>
      </c>
      <c r="G17" s="182">
        <f>IF(B17="","",MOD(B17,1000))</f>
        <v/>
      </c>
      <c r="H17" s="167" t="n"/>
      <c r="I17" s="167" t="n"/>
      <c r="J17" s="167" t="n"/>
      <c r="K17" s="167" t="n"/>
      <c r="L17" s="180" t="n"/>
      <c r="M17" s="167" t="n"/>
      <c r="N17" s="180" t="n"/>
      <c r="O17" s="167" t="n"/>
      <c r="P17" s="169" t="n"/>
    </row>
    <row r="18" ht="20" customHeight="1">
      <c r="A18" s="157" t="n">
        <v>13</v>
      </c>
      <c r="B18" s="171" t="n"/>
      <c r="C18" s="159">
        <f>IF(B18="","",IF(MOD(INT(B18/1000)+INT(MOD(B18,1000)/100)+INT(MOD(B18,100)/10)+MOD(B18,10),9)=0,9,MOD(INT(B18/1000)+INT(MOD(B18,1000)/100)+INT(MOD(B18,100)/10)+MOD(B18,10),9)))</f>
        <v/>
      </c>
      <c r="D18" s="161">
        <f>IF(B18="","",INT(B18/1000)+INT(MOD(B18,1000)/100)+INT(MOD(B18,100)/10)+MOD(B18,10))</f>
        <v/>
      </c>
      <c r="E18" s="172">
        <f>IF(B18="","",LET(d1,INT(B18/1000),d2,INT(MOD(B18,1000)/100),d3,INT(MOD(B18,100)/10),d4,MOD(B18,10),p,(d1=d2)+(d1=d3)+(d1=d4)+(d2=d3)+(d2=d4)+(d3=d4),IF(p=6,"1打(豹子)",IF(p=3,"4打",IF(p=2,"6打",IF(p=1,"12打","24打"))))))</f>
        <v/>
      </c>
      <c r="F18" s="177">
        <f>IF(B18="","",INT(B18/10))</f>
        <v/>
      </c>
      <c r="G18" s="181">
        <f>IF(B18="","",MOD(B18,1000))</f>
        <v/>
      </c>
      <c r="H18" s="161" t="n"/>
      <c r="I18" s="161" t="n"/>
      <c r="J18" s="161" t="n"/>
      <c r="K18" s="161" t="n"/>
      <c r="L18" s="178" t="n"/>
      <c r="M18" s="161" t="n"/>
      <c r="N18" s="178" t="n"/>
      <c r="O18" s="161" t="n"/>
      <c r="P18" s="163" t="n"/>
    </row>
    <row r="19" ht="20" customHeight="1">
      <c r="A19" s="157" t="n">
        <v>14</v>
      </c>
      <c r="B19" s="174" t="n"/>
      <c r="C19" s="165">
        <f>IF(B19="","",IF(MOD(INT(B19/1000)+INT(MOD(B19,1000)/100)+INT(MOD(B19,100)/10)+MOD(B19,10),9)=0,9,MOD(INT(B19/1000)+INT(MOD(B19,1000)/100)+INT(MOD(B19,100)/10)+MOD(B19,10),9)))</f>
        <v/>
      </c>
      <c r="D19" s="167">
        <f>IF(B19="","",INT(B19/1000)+INT(MOD(B19,1000)/100)+INT(MOD(B19,100)/10)+MOD(B19,10))</f>
        <v/>
      </c>
      <c r="E19" s="175">
        <f>IF(B19="","",LET(d1,INT(B19/1000),d2,INT(MOD(B19,1000)/100),d3,INT(MOD(B19,100)/10),d4,MOD(B19,10),p,(d1=d2)+(d1=d3)+(d1=d4)+(d2=d3)+(d2=d4)+(d3=d4),IF(p=6,"1打(豹子)",IF(p=3,"4打",IF(p=2,"6打",IF(p=1,"12打","24打"))))))</f>
        <v/>
      </c>
      <c r="F19" s="179">
        <f>IF(B19="","",INT(B19/10))</f>
        <v/>
      </c>
      <c r="G19" s="182">
        <f>IF(B19="","",MOD(B19,1000))</f>
        <v/>
      </c>
      <c r="H19" s="167" t="n"/>
      <c r="I19" s="167" t="n"/>
      <c r="J19" s="167" t="n"/>
      <c r="K19" s="167" t="n"/>
      <c r="L19" s="180" t="n"/>
      <c r="M19" s="167" t="n"/>
      <c r="N19" s="180" t="n"/>
      <c r="O19" s="167" t="n"/>
      <c r="P19" s="169" t="n"/>
    </row>
    <row r="20" ht="20" customHeight="1">
      <c r="A20" s="157" t="n">
        <v>15</v>
      </c>
      <c r="B20" s="171" t="n"/>
      <c r="C20" s="159">
        <f>IF(B20="","",IF(MOD(INT(B20/1000)+INT(MOD(B20,1000)/100)+INT(MOD(B20,100)/10)+MOD(B20,10),9)=0,9,MOD(INT(B20/1000)+INT(MOD(B20,1000)/100)+INT(MOD(B20,100)/10)+MOD(B20,10),9)))</f>
        <v/>
      </c>
      <c r="D20" s="161">
        <f>IF(B20="","",INT(B20/1000)+INT(MOD(B20,1000)/100)+INT(MOD(B20,100)/10)+MOD(B20,10))</f>
        <v/>
      </c>
      <c r="E20" s="172">
        <f>IF(B20="","",LET(d1,INT(B20/1000),d2,INT(MOD(B20,1000)/100),d3,INT(MOD(B20,100)/10),d4,MOD(B20,10),p,(d1=d2)+(d1=d3)+(d1=d4)+(d2=d3)+(d2=d4)+(d3=d4),IF(p=6,"1打(豹子)",IF(p=3,"4打",IF(p=2,"6打",IF(p=1,"12打","24打"))))))</f>
        <v/>
      </c>
      <c r="F20" s="177">
        <f>IF(B20="","",INT(B20/10))</f>
        <v/>
      </c>
      <c r="G20" s="181">
        <f>IF(B20="","",MOD(B20,1000))</f>
        <v/>
      </c>
      <c r="H20" s="161" t="n"/>
      <c r="I20" s="161" t="n"/>
      <c r="J20" s="161" t="n"/>
      <c r="K20" s="161" t="n"/>
      <c r="L20" s="178" t="n"/>
      <c r="M20" s="161" t="n"/>
      <c r="N20" s="178" t="n"/>
      <c r="O20" s="161" t="n"/>
      <c r="P20" s="163" t="n"/>
    </row>
    <row r="21" ht="20" customHeight="1">
      <c r="A21" s="157" t="n">
        <v>16</v>
      </c>
      <c r="B21" s="174" t="n"/>
      <c r="C21" s="165">
        <f>IF(B21="","",IF(MOD(INT(B21/1000)+INT(MOD(B21,1000)/100)+INT(MOD(B21,100)/10)+MOD(B21,10),9)=0,9,MOD(INT(B21/1000)+INT(MOD(B21,1000)/100)+INT(MOD(B21,100)/10)+MOD(B21,10),9)))</f>
        <v/>
      </c>
      <c r="D21" s="167">
        <f>IF(B21="","",INT(B21/1000)+INT(MOD(B21,1000)/100)+INT(MOD(B21,100)/10)+MOD(B21,10))</f>
        <v/>
      </c>
      <c r="E21" s="175">
        <f>IF(B21="","",LET(d1,INT(B21/1000),d2,INT(MOD(B21,1000)/100),d3,INT(MOD(B21,100)/10),d4,MOD(B21,10),p,(d1=d2)+(d1=d3)+(d1=d4)+(d2=d3)+(d2=d4)+(d3=d4),IF(p=6,"1打(豹子)",IF(p=3,"4打",IF(p=2,"6打",IF(p=1,"12打","24打"))))))</f>
        <v/>
      </c>
      <c r="F21" s="179">
        <f>IF(B21="","",INT(B21/10))</f>
        <v/>
      </c>
      <c r="G21" s="182">
        <f>IF(B21="","",MOD(B21,1000))</f>
        <v/>
      </c>
      <c r="H21" s="167" t="n"/>
      <c r="I21" s="167" t="n"/>
      <c r="J21" s="167" t="n"/>
      <c r="K21" s="167" t="n"/>
      <c r="L21" s="180" t="n"/>
      <c r="M21" s="167" t="n"/>
      <c r="N21" s="180" t="n"/>
      <c r="O21" s="167" t="n"/>
      <c r="P21" s="169" t="n"/>
    </row>
    <row r="22" ht="20" customHeight="1">
      <c r="A22" s="157" t="n">
        <v>17</v>
      </c>
      <c r="B22" s="171" t="n"/>
      <c r="C22" s="159">
        <f>IF(B22="","",IF(MOD(INT(B22/1000)+INT(MOD(B22,1000)/100)+INT(MOD(B22,100)/10)+MOD(B22,10),9)=0,9,MOD(INT(B22/1000)+INT(MOD(B22,1000)/100)+INT(MOD(B22,100)/10)+MOD(B22,10),9)))</f>
        <v/>
      </c>
      <c r="D22" s="161">
        <f>IF(B22="","",INT(B22/1000)+INT(MOD(B22,1000)/100)+INT(MOD(B22,100)/10)+MOD(B22,10))</f>
        <v/>
      </c>
      <c r="E22" s="172">
        <f>IF(B22="","",LET(d1,INT(B22/1000),d2,INT(MOD(B22,1000)/100),d3,INT(MOD(B22,100)/10),d4,MOD(B22,10),p,(d1=d2)+(d1=d3)+(d1=d4)+(d2=d3)+(d2=d4)+(d3=d4),IF(p=6,"1打(豹子)",IF(p=3,"4打",IF(p=2,"6打",IF(p=1,"12打","24打"))))))</f>
        <v/>
      </c>
      <c r="F22" s="177">
        <f>IF(B22="","",INT(B22/10))</f>
        <v/>
      </c>
      <c r="G22" s="181">
        <f>IF(B22="","",MOD(B22,1000))</f>
        <v/>
      </c>
      <c r="H22" s="161" t="n"/>
      <c r="I22" s="161" t="n"/>
      <c r="J22" s="161" t="n"/>
      <c r="K22" s="161" t="n"/>
      <c r="L22" s="178" t="n"/>
      <c r="M22" s="161" t="n"/>
      <c r="N22" s="178" t="n"/>
      <c r="O22" s="161" t="n"/>
      <c r="P22" s="163" t="n"/>
    </row>
    <row r="23" ht="20" customHeight="1">
      <c r="A23" s="157" t="n">
        <v>18</v>
      </c>
      <c r="B23" s="174" t="n"/>
      <c r="C23" s="165">
        <f>IF(B23="","",IF(MOD(INT(B23/1000)+INT(MOD(B23,1000)/100)+INT(MOD(B23,100)/10)+MOD(B23,10),9)=0,9,MOD(INT(B23/1000)+INT(MOD(B23,1000)/100)+INT(MOD(B23,100)/10)+MOD(B23,10),9)))</f>
        <v/>
      </c>
      <c r="D23" s="167">
        <f>IF(B23="","",INT(B23/1000)+INT(MOD(B23,1000)/100)+INT(MOD(B23,100)/10)+MOD(B23,10))</f>
        <v/>
      </c>
      <c r="E23" s="175">
        <f>IF(B23="","",LET(d1,INT(B23/1000),d2,INT(MOD(B23,1000)/100),d3,INT(MOD(B23,100)/10),d4,MOD(B23,10),p,(d1=d2)+(d1=d3)+(d1=d4)+(d2=d3)+(d2=d4)+(d3=d4),IF(p=6,"1打(豹子)",IF(p=3,"4打",IF(p=2,"6打",IF(p=1,"12打","24打"))))))</f>
        <v/>
      </c>
      <c r="F23" s="179">
        <f>IF(B23="","",INT(B23/10))</f>
        <v/>
      </c>
      <c r="G23" s="182">
        <f>IF(B23="","",MOD(B23,1000))</f>
        <v/>
      </c>
      <c r="H23" s="167" t="n"/>
      <c r="I23" s="167" t="n"/>
      <c r="J23" s="167" t="n"/>
      <c r="K23" s="167" t="n"/>
      <c r="L23" s="180" t="n"/>
      <c r="M23" s="167" t="n"/>
      <c r="N23" s="180" t="n"/>
      <c r="O23" s="167" t="n"/>
      <c r="P23" s="169" t="n"/>
    </row>
    <row r="24" ht="20" customHeight="1">
      <c r="A24" s="157" t="n">
        <v>19</v>
      </c>
      <c r="B24" s="171" t="n"/>
      <c r="C24" s="159">
        <f>IF(B24="","",IF(MOD(INT(B24/1000)+INT(MOD(B24,1000)/100)+INT(MOD(B24,100)/10)+MOD(B24,10),9)=0,9,MOD(INT(B24/1000)+INT(MOD(B24,1000)/100)+INT(MOD(B24,100)/10)+MOD(B24,10),9)))</f>
        <v/>
      </c>
      <c r="D24" s="161">
        <f>IF(B24="","",INT(B24/1000)+INT(MOD(B24,1000)/100)+INT(MOD(B24,100)/10)+MOD(B24,10))</f>
        <v/>
      </c>
      <c r="E24" s="172">
        <f>IF(B24="","",LET(d1,INT(B24/1000),d2,INT(MOD(B24,1000)/100),d3,INT(MOD(B24,100)/10),d4,MOD(B24,10),p,(d1=d2)+(d1=d3)+(d1=d4)+(d2=d3)+(d2=d4)+(d3=d4),IF(p=6,"1打(豹子)",IF(p=3,"4打",IF(p=2,"6打",IF(p=1,"12打","24打"))))))</f>
        <v/>
      </c>
      <c r="F24" s="177">
        <f>IF(B24="","",INT(B24/10))</f>
        <v/>
      </c>
      <c r="G24" s="181">
        <f>IF(B24="","",MOD(B24,1000))</f>
        <v/>
      </c>
      <c r="H24" s="161" t="n"/>
      <c r="I24" s="161" t="n"/>
      <c r="J24" s="161" t="n"/>
      <c r="K24" s="161" t="n"/>
      <c r="L24" s="178" t="n"/>
      <c r="M24" s="161" t="n"/>
      <c r="N24" s="178" t="n"/>
      <c r="O24" s="161" t="n"/>
      <c r="P24" s="163" t="n"/>
    </row>
    <row r="25" ht="20" customHeight="1">
      <c r="A25" s="157" t="n">
        <v>20</v>
      </c>
      <c r="B25" s="174" t="n"/>
      <c r="C25" s="165">
        <f>IF(B25="","",IF(MOD(INT(B25/1000)+INT(MOD(B25,1000)/100)+INT(MOD(B25,100)/10)+MOD(B25,10),9)=0,9,MOD(INT(B25/1000)+INT(MOD(B25,1000)/100)+INT(MOD(B25,100)/10)+MOD(B25,10),9)))</f>
        <v/>
      </c>
      <c r="D25" s="167">
        <f>IF(B25="","",INT(B25/1000)+INT(MOD(B25,1000)/100)+INT(MOD(B25,100)/10)+MOD(B25,10))</f>
        <v/>
      </c>
      <c r="E25" s="175">
        <f>IF(B25="","",LET(d1,INT(B25/1000),d2,INT(MOD(B25,1000)/100),d3,INT(MOD(B25,100)/10),d4,MOD(B25,10),p,(d1=d2)+(d1=d3)+(d1=d4)+(d2=d3)+(d2=d4)+(d3=d4),IF(p=6,"1打(豹子)",IF(p=3,"4打",IF(p=2,"6打",IF(p=1,"12打","24打"))))))</f>
        <v/>
      </c>
      <c r="F25" s="179">
        <f>IF(B25="","",INT(B25/10))</f>
        <v/>
      </c>
      <c r="G25" s="182">
        <f>IF(B25="","",MOD(B25,1000))</f>
        <v/>
      </c>
      <c r="H25" s="167" t="n"/>
      <c r="I25" s="167" t="n"/>
      <c r="J25" s="167" t="n"/>
      <c r="K25" s="167" t="n"/>
      <c r="L25" s="180" t="n"/>
      <c r="M25" s="167" t="n"/>
      <c r="N25" s="180" t="n"/>
      <c r="O25" s="167" t="n"/>
      <c r="P25" s="169" t="n"/>
    </row>
    <row r="26" ht="20" customHeight="1">
      <c r="A26" s="157" t="n">
        <v>21</v>
      </c>
      <c r="B26" s="171" t="n"/>
      <c r="C26" s="159">
        <f>IF(B26="","",IF(MOD(INT(B26/1000)+INT(MOD(B26,1000)/100)+INT(MOD(B26,100)/10)+MOD(B26,10),9)=0,9,MOD(INT(B26/1000)+INT(MOD(B26,1000)/100)+INT(MOD(B26,100)/10)+MOD(B26,10),9)))</f>
        <v/>
      </c>
      <c r="D26" s="161">
        <f>IF(B26="","",INT(B26/1000)+INT(MOD(B26,1000)/100)+INT(MOD(B26,100)/10)+MOD(B26,10))</f>
        <v/>
      </c>
      <c r="E26" s="172">
        <f>IF(B26="","",LET(d1,INT(B26/1000),d2,INT(MOD(B26,1000)/100),d3,INT(MOD(B26,100)/10),d4,MOD(B26,10),p,(d1=d2)+(d1=d3)+(d1=d4)+(d2=d3)+(d2=d4)+(d3=d4),IF(p=6,"1打(豹子)",IF(p=3,"4打",IF(p=2,"6打",IF(p=1,"12打","24打"))))))</f>
        <v/>
      </c>
      <c r="F26" s="177">
        <f>IF(B26="","",INT(B26/10))</f>
        <v/>
      </c>
      <c r="G26" s="181">
        <f>IF(B26="","",MOD(B26,1000))</f>
        <v/>
      </c>
      <c r="H26" s="161" t="n"/>
      <c r="I26" s="161" t="n"/>
      <c r="J26" s="161" t="n"/>
      <c r="K26" s="161" t="n"/>
      <c r="L26" s="178" t="n"/>
      <c r="M26" s="161" t="n"/>
      <c r="N26" s="178" t="n"/>
      <c r="O26" s="161" t="n"/>
      <c r="P26" s="163" t="n"/>
    </row>
    <row r="27" ht="20" customHeight="1">
      <c r="A27" s="157" t="n">
        <v>22</v>
      </c>
      <c r="B27" s="174" t="n"/>
      <c r="C27" s="165">
        <f>IF(B27="","",IF(MOD(INT(B27/1000)+INT(MOD(B27,1000)/100)+INT(MOD(B27,100)/10)+MOD(B27,10),9)=0,9,MOD(INT(B27/1000)+INT(MOD(B27,1000)/100)+INT(MOD(B27,100)/10)+MOD(B27,10),9)))</f>
        <v/>
      </c>
      <c r="D27" s="167">
        <f>IF(B27="","",INT(B27/1000)+INT(MOD(B27,1000)/100)+INT(MOD(B27,100)/10)+MOD(B27,10))</f>
        <v/>
      </c>
      <c r="E27" s="175">
        <f>IF(B27="","",LET(d1,INT(B27/1000),d2,INT(MOD(B27,1000)/100),d3,INT(MOD(B27,100)/10),d4,MOD(B27,10),p,(d1=d2)+(d1=d3)+(d1=d4)+(d2=d3)+(d2=d4)+(d3=d4),IF(p=6,"1打(豹子)",IF(p=3,"4打",IF(p=2,"6打",IF(p=1,"12打","24打"))))))</f>
        <v/>
      </c>
      <c r="F27" s="179">
        <f>IF(B27="","",INT(B27/10))</f>
        <v/>
      </c>
      <c r="G27" s="182">
        <f>IF(B27="","",MOD(B27,1000))</f>
        <v/>
      </c>
      <c r="H27" s="167" t="n"/>
      <c r="I27" s="167" t="n"/>
      <c r="J27" s="167" t="n"/>
      <c r="K27" s="167" t="n"/>
      <c r="L27" s="180" t="n"/>
      <c r="M27" s="167" t="n"/>
      <c r="N27" s="180" t="n"/>
      <c r="O27" s="167" t="n"/>
      <c r="P27" s="169" t="n"/>
    </row>
    <row r="28" ht="20" customHeight="1">
      <c r="A28" s="157" t="n">
        <v>23</v>
      </c>
      <c r="B28" s="171" t="n"/>
      <c r="C28" s="159">
        <f>IF(B28="","",IF(MOD(INT(B28/1000)+INT(MOD(B28,1000)/100)+INT(MOD(B28,100)/10)+MOD(B28,10),9)=0,9,MOD(INT(B28/1000)+INT(MOD(B28,1000)/100)+INT(MOD(B28,100)/10)+MOD(B28,10),9)))</f>
        <v/>
      </c>
      <c r="D28" s="161">
        <f>IF(B28="","",INT(B28/1000)+INT(MOD(B28,1000)/100)+INT(MOD(B28,100)/10)+MOD(B28,10))</f>
        <v/>
      </c>
      <c r="E28" s="172">
        <f>IF(B28="","",LET(d1,INT(B28/1000),d2,INT(MOD(B28,1000)/100),d3,INT(MOD(B28,100)/10),d4,MOD(B28,10),p,(d1=d2)+(d1=d3)+(d1=d4)+(d2=d3)+(d2=d4)+(d3=d4),IF(p=6,"1打(豹子)",IF(p=3,"4打",IF(p=2,"6打",IF(p=1,"12打","24打"))))))</f>
        <v/>
      </c>
      <c r="F28" s="177">
        <f>IF(B28="","",INT(B28/10))</f>
        <v/>
      </c>
      <c r="G28" s="181">
        <f>IF(B28="","",MOD(B28,1000))</f>
        <v/>
      </c>
      <c r="H28" s="161" t="n"/>
      <c r="I28" s="161" t="n"/>
      <c r="J28" s="161" t="n"/>
      <c r="K28" s="161" t="n"/>
      <c r="L28" s="178" t="n"/>
      <c r="M28" s="161" t="n"/>
      <c r="N28" s="178" t="n"/>
      <c r="O28" s="161" t="n"/>
      <c r="P28" s="163" t="n"/>
    </row>
    <row r="29" ht="20" customHeight="1">
      <c r="A29" s="157" t="n">
        <v>24</v>
      </c>
      <c r="B29" s="174" t="n"/>
      <c r="C29" s="165">
        <f>IF(B29="","",IF(MOD(INT(B29/1000)+INT(MOD(B29,1000)/100)+INT(MOD(B29,100)/10)+MOD(B29,10),9)=0,9,MOD(INT(B29/1000)+INT(MOD(B29,1000)/100)+INT(MOD(B29,100)/10)+MOD(B29,10),9)))</f>
        <v/>
      </c>
      <c r="D29" s="167">
        <f>IF(B29="","",INT(B29/1000)+INT(MOD(B29,1000)/100)+INT(MOD(B29,100)/10)+MOD(B29,10))</f>
        <v/>
      </c>
      <c r="E29" s="175">
        <f>IF(B29="","",LET(d1,INT(B29/1000),d2,INT(MOD(B29,1000)/100),d3,INT(MOD(B29,100)/10),d4,MOD(B29,10),p,(d1=d2)+(d1=d3)+(d1=d4)+(d2=d3)+(d2=d4)+(d3=d4),IF(p=6,"1打(豹子)",IF(p=3,"4打",IF(p=2,"6打",IF(p=1,"12打","24打"))))))</f>
        <v/>
      </c>
      <c r="F29" s="179">
        <f>IF(B29="","",INT(B29/10))</f>
        <v/>
      </c>
      <c r="G29" s="182">
        <f>IF(B29="","",MOD(B29,1000))</f>
        <v/>
      </c>
      <c r="H29" s="167" t="n"/>
      <c r="I29" s="167" t="n"/>
      <c r="J29" s="167" t="n"/>
      <c r="K29" s="167" t="n"/>
      <c r="L29" s="180" t="n"/>
      <c r="M29" s="167" t="n"/>
      <c r="N29" s="180" t="n"/>
      <c r="O29" s="167" t="n"/>
      <c r="P29" s="169" t="n"/>
    </row>
    <row r="30" ht="20" customHeight="1">
      <c r="A30" s="157" t="n">
        <v>25</v>
      </c>
      <c r="B30" s="171" t="n"/>
      <c r="C30" s="159">
        <f>IF(B30="","",IF(MOD(INT(B30/1000)+INT(MOD(B30,1000)/100)+INT(MOD(B30,100)/10)+MOD(B30,10),9)=0,9,MOD(INT(B30/1000)+INT(MOD(B30,1000)/100)+INT(MOD(B30,100)/10)+MOD(B30,10),9)))</f>
        <v/>
      </c>
      <c r="D30" s="161">
        <f>IF(B30="","",INT(B30/1000)+INT(MOD(B30,1000)/100)+INT(MOD(B30,100)/10)+MOD(B30,10))</f>
        <v/>
      </c>
      <c r="E30" s="172">
        <f>IF(B30="","",LET(d1,INT(B30/1000),d2,INT(MOD(B30,1000)/100),d3,INT(MOD(B30,100)/10),d4,MOD(B30,10),p,(d1=d2)+(d1=d3)+(d1=d4)+(d2=d3)+(d2=d4)+(d3=d4),IF(p=6,"1打(豹子)",IF(p=3,"4打",IF(p=2,"6打",IF(p=1,"12打","24打"))))))</f>
        <v/>
      </c>
      <c r="F30" s="177">
        <f>IF(B30="","",INT(B30/10))</f>
        <v/>
      </c>
      <c r="G30" s="181">
        <f>IF(B30="","",MOD(B30,1000))</f>
        <v/>
      </c>
      <c r="H30" s="161" t="n"/>
      <c r="I30" s="161" t="n"/>
      <c r="J30" s="161" t="n"/>
      <c r="K30" s="161" t="n"/>
      <c r="L30" s="178" t="n"/>
      <c r="M30" s="161" t="n"/>
      <c r="N30" s="178" t="n"/>
      <c r="O30" s="161" t="n"/>
      <c r="P30" s="163" t="n"/>
    </row>
    <row r="31" ht="20" customHeight="1">
      <c r="A31" s="157" t="n">
        <v>26</v>
      </c>
      <c r="B31" s="174" t="n"/>
      <c r="C31" s="165">
        <f>IF(B31="","",IF(MOD(INT(B31/1000)+INT(MOD(B31,1000)/100)+INT(MOD(B31,100)/10)+MOD(B31,10),9)=0,9,MOD(INT(B31/1000)+INT(MOD(B31,1000)/100)+INT(MOD(B31,100)/10)+MOD(B31,10),9)))</f>
        <v/>
      </c>
      <c r="D31" s="167">
        <f>IF(B31="","",INT(B31/1000)+INT(MOD(B31,1000)/100)+INT(MOD(B31,100)/10)+MOD(B31,10))</f>
        <v/>
      </c>
      <c r="E31" s="175">
        <f>IF(B31="","",LET(d1,INT(B31/1000),d2,INT(MOD(B31,1000)/100),d3,INT(MOD(B31,100)/10),d4,MOD(B31,10),p,(d1=d2)+(d1=d3)+(d1=d4)+(d2=d3)+(d2=d4)+(d3=d4),IF(p=6,"1打(豹子)",IF(p=3,"4打",IF(p=2,"6打",IF(p=1,"12打","24打"))))))</f>
        <v/>
      </c>
      <c r="F31" s="179">
        <f>IF(B31="","",INT(B31/10))</f>
        <v/>
      </c>
      <c r="G31" s="182">
        <f>IF(B31="","",MOD(B31,1000))</f>
        <v/>
      </c>
      <c r="H31" s="167" t="n"/>
      <c r="I31" s="167" t="n"/>
      <c r="J31" s="167" t="n"/>
      <c r="K31" s="167" t="n"/>
      <c r="L31" s="180" t="n"/>
      <c r="M31" s="167" t="n"/>
      <c r="N31" s="180" t="n"/>
      <c r="O31" s="167" t="n"/>
      <c r="P31" s="169" t="n"/>
    </row>
    <row r="32" ht="20" customHeight="1">
      <c r="A32" s="157" t="n">
        <v>27</v>
      </c>
      <c r="B32" s="171" t="n"/>
      <c r="C32" s="159">
        <f>IF(B32="","",IF(MOD(INT(B32/1000)+INT(MOD(B32,1000)/100)+INT(MOD(B32,100)/10)+MOD(B32,10),9)=0,9,MOD(INT(B32/1000)+INT(MOD(B32,1000)/100)+INT(MOD(B32,100)/10)+MOD(B32,10),9)))</f>
        <v/>
      </c>
      <c r="D32" s="161">
        <f>IF(B32="","",INT(B32/1000)+INT(MOD(B32,1000)/100)+INT(MOD(B32,100)/10)+MOD(B32,10))</f>
        <v/>
      </c>
      <c r="E32" s="172">
        <f>IF(B32="","",LET(d1,INT(B32/1000),d2,INT(MOD(B32,1000)/100),d3,INT(MOD(B32,100)/10),d4,MOD(B32,10),p,(d1=d2)+(d1=d3)+(d1=d4)+(d2=d3)+(d2=d4)+(d3=d4),IF(p=6,"1打(豹子)",IF(p=3,"4打",IF(p=2,"6打",IF(p=1,"12打","24打"))))))</f>
        <v/>
      </c>
      <c r="F32" s="177">
        <f>IF(B32="","",INT(B32/10))</f>
        <v/>
      </c>
      <c r="G32" s="181">
        <f>IF(B32="","",MOD(B32,1000))</f>
        <v/>
      </c>
      <c r="H32" s="161" t="n"/>
      <c r="I32" s="161" t="n"/>
      <c r="J32" s="161" t="n"/>
      <c r="K32" s="161" t="n"/>
      <c r="L32" s="178" t="n"/>
      <c r="M32" s="161" t="n"/>
      <c r="N32" s="178" t="n"/>
      <c r="O32" s="161" t="n"/>
      <c r="P32" s="163" t="n"/>
    </row>
    <row r="33" ht="20" customHeight="1">
      <c r="A33" s="157" t="n">
        <v>28</v>
      </c>
      <c r="B33" s="174" t="n"/>
      <c r="C33" s="165">
        <f>IF(B33="","",IF(MOD(INT(B33/1000)+INT(MOD(B33,1000)/100)+INT(MOD(B33,100)/10)+MOD(B33,10),9)=0,9,MOD(INT(B33/1000)+INT(MOD(B33,1000)/100)+INT(MOD(B33,100)/10)+MOD(B33,10),9)))</f>
        <v/>
      </c>
      <c r="D33" s="167">
        <f>IF(B33="","",INT(B33/1000)+INT(MOD(B33,1000)/100)+INT(MOD(B33,100)/10)+MOD(B33,10))</f>
        <v/>
      </c>
      <c r="E33" s="175">
        <f>IF(B33="","",LET(d1,INT(B33/1000),d2,INT(MOD(B33,1000)/100),d3,INT(MOD(B33,100)/10),d4,MOD(B33,10),p,(d1=d2)+(d1=d3)+(d1=d4)+(d2=d3)+(d2=d4)+(d3=d4),IF(p=6,"1打(豹子)",IF(p=3,"4打",IF(p=2,"6打",IF(p=1,"12打","24打"))))))</f>
        <v/>
      </c>
      <c r="F33" s="179">
        <f>IF(B33="","",INT(B33/10))</f>
        <v/>
      </c>
      <c r="G33" s="182">
        <f>IF(B33="","",MOD(B33,1000))</f>
        <v/>
      </c>
      <c r="H33" s="167" t="n"/>
      <c r="I33" s="167" t="n"/>
      <c r="J33" s="167" t="n"/>
      <c r="K33" s="167" t="n"/>
      <c r="L33" s="180" t="n"/>
      <c r="M33" s="167" t="n"/>
      <c r="N33" s="180" t="n"/>
      <c r="O33" s="167" t="n"/>
      <c r="P33" s="169" t="n"/>
    </row>
    <row r="34" ht="20" customHeight="1">
      <c r="A34" s="157" t="n">
        <v>29</v>
      </c>
      <c r="B34" s="171" t="n"/>
      <c r="C34" s="159">
        <f>IF(B34="","",IF(MOD(INT(B34/1000)+INT(MOD(B34,1000)/100)+INT(MOD(B34,100)/10)+MOD(B34,10),9)=0,9,MOD(INT(B34/1000)+INT(MOD(B34,1000)/100)+INT(MOD(B34,100)/10)+MOD(B34,10),9)))</f>
        <v/>
      </c>
      <c r="D34" s="161">
        <f>IF(B34="","",INT(B34/1000)+INT(MOD(B34,1000)/100)+INT(MOD(B34,100)/10)+MOD(B34,10))</f>
        <v/>
      </c>
      <c r="E34" s="172">
        <f>IF(B34="","",LET(d1,INT(B34/1000),d2,INT(MOD(B34,1000)/100),d3,INT(MOD(B34,100)/10),d4,MOD(B34,10),p,(d1=d2)+(d1=d3)+(d1=d4)+(d2=d3)+(d2=d4)+(d3=d4),IF(p=6,"1打(豹子)",IF(p=3,"4打",IF(p=2,"6打",IF(p=1,"12打","24打"))))))</f>
        <v/>
      </c>
      <c r="F34" s="177">
        <f>IF(B34="","",INT(B34/10))</f>
        <v/>
      </c>
      <c r="G34" s="181">
        <f>IF(B34="","",MOD(B34,1000))</f>
        <v/>
      </c>
      <c r="H34" s="161" t="n"/>
      <c r="I34" s="161" t="n"/>
      <c r="J34" s="161" t="n"/>
      <c r="K34" s="161" t="n"/>
      <c r="L34" s="178" t="n"/>
      <c r="M34" s="161" t="n"/>
      <c r="N34" s="178" t="n"/>
      <c r="O34" s="161" t="n"/>
      <c r="P34" s="163" t="n"/>
    </row>
    <row r="35" ht="20" customHeight="1">
      <c r="A35" s="157" t="n">
        <v>30</v>
      </c>
      <c r="B35" s="174" t="n"/>
      <c r="C35" s="165">
        <f>IF(B35="","",IF(MOD(INT(B35/1000)+INT(MOD(B35,1000)/100)+INT(MOD(B35,100)/10)+MOD(B35,10),9)=0,9,MOD(INT(B35/1000)+INT(MOD(B35,1000)/100)+INT(MOD(B35,100)/10)+MOD(B35,10),9)))</f>
        <v/>
      </c>
      <c r="D35" s="167">
        <f>IF(B35="","",INT(B35/1000)+INT(MOD(B35,1000)/100)+INT(MOD(B35,100)/10)+MOD(B35,10))</f>
        <v/>
      </c>
      <c r="E35" s="175">
        <f>IF(B35="","",LET(d1,INT(B35/1000),d2,INT(MOD(B35,1000)/100),d3,INT(MOD(B35,100)/10),d4,MOD(B35,10),p,(d1=d2)+(d1=d3)+(d1=d4)+(d2=d3)+(d2=d4)+(d3=d4),IF(p=6,"1打(豹子)",IF(p=3,"4打",IF(p=2,"6打",IF(p=1,"12打","24打"))))))</f>
        <v/>
      </c>
      <c r="F35" s="179">
        <f>IF(B35="","",INT(B35/10))</f>
        <v/>
      </c>
      <c r="G35" s="182">
        <f>IF(B35="","",MOD(B35,1000))</f>
        <v/>
      </c>
      <c r="H35" s="167" t="n"/>
      <c r="I35" s="167" t="n"/>
      <c r="J35" s="167" t="n"/>
      <c r="K35" s="167" t="n"/>
      <c r="L35" s="180" t="n"/>
      <c r="M35" s="167" t="n"/>
      <c r="N35" s="180" t="n"/>
      <c r="O35" s="167" t="n"/>
      <c r="P35" s="169" t="n"/>
    </row>
    <row r="36" ht="20" customHeight="1">
      <c r="A36" s="157" t="n">
        <v>31</v>
      </c>
      <c r="B36" s="171" t="n"/>
      <c r="C36" s="159">
        <f>IF(B36="","",IF(MOD(INT(B36/1000)+INT(MOD(B36,1000)/100)+INT(MOD(B36,100)/10)+MOD(B36,10),9)=0,9,MOD(INT(B36/1000)+INT(MOD(B36,1000)/100)+INT(MOD(B36,100)/10)+MOD(B36,10),9)))</f>
        <v/>
      </c>
      <c r="D36" s="161">
        <f>IF(B36="","",INT(B36/1000)+INT(MOD(B36,1000)/100)+INT(MOD(B36,100)/10)+MOD(B36,10))</f>
        <v/>
      </c>
      <c r="E36" s="172">
        <f>IF(B36="","",LET(d1,INT(B36/1000),d2,INT(MOD(B36,1000)/100),d3,INT(MOD(B36,100)/10),d4,MOD(B36,10),p,(d1=d2)+(d1=d3)+(d1=d4)+(d2=d3)+(d2=d4)+(d3=d4),IF(p=6,"1打(豹子)",IF(p=3,"4打",IF(p=2,"6打",IF(p=1,"12打","24打"))))))</f>
        <v/>
      </c>
      <c r="F36" s="177">
        <f>IF(B36="","",INT(B36/10))</f>
        <v/>
      </c>
      <c r="G36" s="181">
        <f>IF(B36="","",MOD(B36,1000))</f>
        <v/>
      </c>
      <c r="H36" s="161" t="n"/>
      <c r="I36" s="161" t="n"/>
      <c r="J36" s="161" t="n"/>
      <c r="K36" s="161" t="n"/>
      <c r="L36" s="178" t="n"/>
      <c r="M36" s="161" t="n"/>
      <c r="N36" s="178" t="n"/>
      <c r="O36" s="161" t="n"/>
      <c r="P36" s="163" t="n"/>
    </row>
    <row r="37" ht="20" customHeight="1">
      <c r="A37" s="157" t="n">
        <v>32</v>
      </c>
      <c r="B37" s="174" t="n"/>
      <c r="C37" s="165">
        <f>IF(B37="","",IF(MOD(INT(B37/1000)+INT(MOD(B37,1000)/100)+INT(MOD(B37,100)/10)+MOD(B37,10),9)=0,9,MOD(INT(B37/1000)+INT(MOD(B37,1000)/100)+INT(MOD(B37,100)/10)+MOD(B37,10),9)))</f>
        <v/>
      </c>
      <c r="D37" s="167">
        <f>IF(B37="","",INT(B37/1000)+INT(MOD(B37,1000)/100)+INT(MOD(B37,100)/10)+MOD(B37,10))</f>
        <v/>
      </c>
      <c r="E37" s="175">
        <f>IF(B37="","",LET(d1,INT(B37/1000),d2,INT(MOD(B37,1000)/100),d3,INT(MOD(B37,100)/10),d4,MOD(B37,10),p,(d1=d2)+(d1=d3)+(d1=d4)+(d2=d3)+(d2=d4)+(d3=d4),IF(p=6,"1打(豹子)",IF(p=3,"4打",IF(p=2,"6打",IF(p=1,"12打","24打"))))))</f>
        <v/>
      </c>
      <c r="F37" s="179">
        <f>IF(B37="","",INT(B37/10))</f>
        <v/>
      </c>
      <c r="G37" s="182">
        <f>IF(B37="","",MOD(B37,1000))</f>
        <v/>
      </c>
      <c r="H37" s="167" t="n"/>
      <c r="I37" s="167" t="n"/>
      <c r="J37" s="167" t="n"/>
      <c r="K37" s="167" t="n"/>
      <c r="L37" s="180" t="n"/>
      <c r="M37" s="167" t="n"/>
      <c r="N37" s="180" t="n"/>
      <c r="O37" s="167" t="n"/>
      <c r="P37" s="169" t="n"/>
    </row>
    <row r="38" ht="20" customHeight="1">
      <c r="A38" s="157" t="n">
        <v>33</v>
      </c>
      <c r="B38" s="171" t="n"/>
      <c r="C38" s="159">
        <f>IF(B38="","",IF(MOD(INT(B38/1000)+INT(MOD(B38,1000)/100)+INT(MOD(B38,100)/10)+MOD(B38,10),9)=0,9,MOD(INT(B38/1000)+INT(MOD(B38,1000)/100)+INT(MOD(B38,100)/10)+MOD(B38,10),9)))</f>
        <v/>
      </c>
      <c r="D38" s="161">
        <f>IF(B38="","",INT(B38/1000)+INT(MOD(B38,1000)/100)+INT(MOD(B38,100)/10)+MOD(B38,10))</f>
        <v/>
      </c>
      <c r="E38" s="172">
        <f>IF(B38="","",LET(d1,INT(B38/1000),d2,INT(MOD(B38,1000)/100),d3,INT(MOD(B38,100)/10),d4,MOD(B38,10),p,(d1=d2)+(d1=d3)+(d1=d4)+(d2=d3)+(d2=d4)+(d3=d4),IF(p=6,"1打(豹子)",IF(p=3,"4打",IF(p=2,"6打",IF(p=1,"12打","24打"))))))</f>
        <v/>
      </c>
      <c r="F38" s="177">
        <f>IF(B38="","",INT(B38/10))</f>
        <v/>
      </c>
      <c r="G38" s="181">
        <f>IF(B38="","",MOD(B38,1000))</f>
        <v/>
      </c>
      <c r="H38" s="161" t="n"/>
      <c r="I38" s="161" t="n"/>
      <c r="J38" s="161" t="n"/>
      <c r="K38" s="161" t="n"/>
      <c r="L38" s="178" t="n"/>
      <c r="M38" s="161" t="n"/>
      <c r="N38" s="178" t="n"/>
      <c r="O38" s="161" t="n"/>
      <c r="P38" s="163" t="n"/>
    </row>
    <row r="39" ht="20" customHeight="1">
      <c r="A39" s="157" t="n">
        <v>34</v>
      </c>
      <c r="B39" s="174" t="n"/>
      <c r="C39" s="165">
        <f>IF(B39="","",IF(MOD(INT(B39/1000)+INT(MOD(B39,1000)/100)+INT(MOD(B39,100)/10)+MOD(B39,10),9)=0,9,MOD(INT(B39/1000)+INT(MOD(B39,1000)/100)+INT(MOD(B39,100)/10)+MOD(B39,10),9)))</f>
        <v/>
      </c>
      <c r="D39" s="167">
        <f>IF(B39="","",INT(B39/1000)+INT(MOD(B39,1000)/100)+INT(MOD(B39,100)/10)+MOD(B39,10))</f>
        <v/>
      </c>
      <c r="E39" s="175">
        <f>IF(B39="","",LET(d1,INT(B39/1000),d2,INT(MOD(B39,1000)/100),d3,INT(MOD(B39,100)/10),d4,MOD(B39,10),p,(d1=d2)+(d1=d3)+(d1=d4)+(d2=d3)+(d2=d4)+(d3=d4),IF(p=6,"1打(豹子)",IF(p=3,"4打",IF(p=2,"6打",IF(p=1,"12打","24打"))))))</f>
        <v/>
      </c>
      <c r="F39" s="179">
        <f>IF(B39="","",INT(B39/10))</f>
        <v/>
      </c>
      <c r="G39" s="182">
        <f>IF(B39="","",MOD(B39,1000))</f>
        <v/>
      </c>
      <c r="H39" s="167" t="n"/>
      <c r="I39" s="167" t="n"/>
      <c r="J39" s="167" t="n"/>
      <c r="K39" s="167" t="n"/>
      <c r="L39" s="180" t="n"/>
      <c r="M39" s="167" t="n"/>
      <c r="N39" s="180" t="n"/>
      <c r="O39" s="167" t="n"/>
      <c r="P39" s="169" t="n"/>
    </row>
    <row r="40" ht="20" customHeight="1">
      <c r="A40" s="157" t="n">
        <v>35</v>
      </c>
      <c r="B40" s="171" t="n"/>
      <c r="C40" s="159">
        <f>IF(B40="","",IF(MOD(INT(B40/1000)+INT(MOD(B40,1000)/100)+INT(MOD(B40,100)/10)+MOD(B40,10),9)=0,9,MOD(INT(B40/1000)+INT(MOD(B40,1000)/100)+INT(MOD(B40,100)/10)+MOD(B40,10),9)))</f>
        <v/>
      </c>
      <c r="D40" s="161">
        <f>IF(B40="","",INT(B40/1000)+INT(MOD(B40,1000)/100)+INT(MOD(B40,100)/10)+MOD(B40,10))</f>
        <v/>
      </c>
      <c r="E40" s="172">
        <f>IF(B40="","",LET(d1,INT(B40/1000),d2,INT(MOD(B40,1000)/100),d3,INT(MOD(B40,100)/10),d4,MOD(B40,10),p,(d1=d2)+(d1=d3)+(d1=d4)+(d2=d3)+(d2=d4)+(d3=d4),IF(p=6,"1打(豹子)",IF(p=3,"4打",IF(p=2,"6打",IF(p=1,"12打","24打"))))))</f>
        <v/>
      </c>
      <c r="F40" s="177">
        <f>IF(B40="","",INT(B40/10))</f>
        <v/>
      </c>
      <c r="G40" s="181">
        <f>IF(B40="","",MOD(B40,1000))</f>
        <v/>
      </c>
      <c r="H40" s="161" t="n"/>
      <c r="I40" s="161" t="n"/>
      <c r="J40" s="161" t="n"/>
      <c r="K40" s="161" t="n"/>
      <c r="L40" s="178" t="n"/>
      <c r="M40" s="161" t="n"/>
      <c r="N40" s="178" t="n"/>
      <c r="O40" s="161" t="n"/>
      <c r="P40" s="163" t="n"/>
    </row>
    <row r="41" ht="20" customHeight="1">
      <c r="A41" s="157" t="n">
        <v>36</v>
      </c>
      <c r="B41" s="174" t="n"/>
      <c r="C41" s="165">
        <f>IF(B41="","",IF(MOD(INT(B41/1000)+INT(MOD(B41,1000)/100)+INT(MOD(B41,100)/10)+MOD(B41,10),9)=0,9,MOD(INT(B41/1000)+INT(MOD(B41,1000)/100)+INT(MOD(B41,100)/10)+MOD(B41,10),9)))</f>
        <v/>
      </c>
      <c r="D41" s="167">
        <f>IF(B41="","",INT(B41/1000)+INT(MOD(B41,1000)/100)+INT(MOD(B41,100)/10)+MOD(B41,10))</f>
        <v/>
      </c>
      <c r="E41" s="175">
        <f>IF(B41="","",LET(d1,INT(B41/1000),d2,INT(MOD(B41,1000)/100),d3,INT(MOD(B41,100)/10),d4,MOD(B41,10),p,(d1=d2)+(d1=d3)+(d1=d4)+(d2=d3)+(d2=d4)+(d3=d4),IF(p=6,"1打(豹子)",IF(p=3,"4打",IF(p=2,"6打",IF(p=1,"12打","24打"))))))</f>
        <v/>
      </c>
      <c r="F41" s="179">
        <f>IF(B41="","",INT(B41/10))</f>
        <v/>
      </c>
      <c r="G41" s="182">
        <f>IF(B41="","",MOD(B41,1000))</f>
        <v/>
      </c>
      <c r="H41" s="167" t="n"/>
      <c r="I41" s="167" t="n"/>
      <c r="J41" s="167" t="n"/>
      <c r="K41" s="167" t="n"/>
      <c r="L41" s="180" t="n"/>
      <c r="M41" s="167" t="n"/>
      <c r="N41" s="180" t="n"/>
      <c r="O41" s="167" t="n"/>
      <c r="P41" s="169" t="n"/>
    </row>
    <row r="42" ht="20" customHeight="1">
      <c r="A42" s="157" t="n">
        <v>37</v>
      </c>
      <c r="B42" s="171" t="n"/>
      <c r="C42" s="159">
        <f>IF(B42="","",IF(MOD(INT(B42/1000)+INT(MOD(B42,1000)/100)+INT(MOD(B42,100)/10)+MOD(B42,10),9)=0,9,MOD(INT(B42/1000)+INT(MOD(B42,1000)/100)+INT(MOD(B42,100)/10)+MOD(B42,10),9)))</f>
        <v/>
      </c>
      <c r="D42" s="161">
        <f>IF(B42="","",INT(B42/1000)+INT(MOD(B42,1000)/100)+INT(MOD(B42,100)/10)+MOD(B42,10))</f>
        <v/>
      </c>
      <c r="E42" s="172">
        <f>IF(B42="","",LET(d1,INT(B42/1000),d2,INT(MOD(B42,1000)/100),d3,INT(MOD(B42,100)/10),d4,MOD(B42,10),p,(d1=d2)+(d1=d3)+(d1=d4)+(d2=d3)+(d2=d4)+(d3=d4),IF(p=6,"1打(豹子)",IF(p=3,"4打",IF(p=2,"6打",IF(p=1,"12打","24打"))))))</f>
        <v/>
      </c>
      <c r="F42" s="177">
        <f>IF(B42="","",INT(B42/10))</f>
        <v/>
      </c>
      <c r="G42" s="181">
        <f>IF(B42="","",MOD(B42,1000))</f>
        <v/>
      </c>
      <c r="H42" s="161" t="n"/>
      <c r="I42" s="161" t="n"/>
      <c r="J42" s="161" t="n"/>
      <c r="K42" s="161" t="n"/>
      <c r="L42" s="178" t="n"/>
      <c r="M42" s="161" t="n"/>
      <c r="N42" s="178" t="n"/>
      <c r="O42" s="161" t="n"/>
      <c r="P42" s="163" t="n"/>
    </row>
    <row r="43" ht="20" customHeight="1">
      <c r="A43" s="157" t="n">
        <v>38</v>
      </c>
      <c r="B43" s="174" t="n"/>
      <c r="C43" s="165">
        <f>IF(B43="","",IF(MOD(INT(B43/1000)+INT(MOD(B43,1000)/100)+INT(MOD(B43,100)/10)+MOD(B43,10),9)=0,9,MOD(INT(B43/1000)+INT(MOD(B43,1000)/100)+INT(MOD(B43,100)/10)+MOD(B43,10),9)))</f>
        <v/>
      </c>
      <c r="D43" s="167">
        <f>IF(B43="","",INT(B43/1000)+INT(MOD(B43,1000)/100)+INT(MOD(B43,100)/10)+MOD(B43,10))</f>
        <v/>
      </c>
      <c r="E43" s="175">
        <f>IF(B43="","",LET(d1,INT(B43/1000),d2,INT(MOD(B43,1000)/100),d3,INT(MOD(B43,100)/10),d4,MOD(B43,10),p,(d1=d2)+(d1=d3)+(d1=d4)+(d2=d3)+(d2=d4)+(d3=d4),IF(p=6,"1打(豹子)",IF(p=3,"4打",IF(p=2,"6打",IF(p=1,"12打","24打"))))))</f>
        <v/>
      </c>
      <c r="F43" s="179">
        <f>IF(B43="","",INT(B43/10))</f>
        <v/>
      </c>
      <c r="G43" s="182">
        <f>IF(B43="","",MOD(B43,1000))</f>
        <v/>
      </c>
      <c r="H43" s="167" t="n"/>
      <c r="I43" s="167" t="n"/>
      <c r="J43" s="167" t="n"/>
      <c r="K43" s="167" t="n"/>
      <c r="L43" s="180" t="n"/>
      <c r="M43" s="167" t="n"/>
      <c r="N43" s="180" t="n"/>
      <c r="O43" s="167" t="n"/>
      <c r="P43" s="169" t="n"/>
    </row>
    <row r="44" ht="20" customHeight="1">
      <c r="A44" s="157" t="n">
        <v>39</v>
      </c>
      <c r="B44" s="171" t="n"/>
      <c r="C44" s="159">
        <f>IF(B44="","",IF(MOD(INT(B44/1000)+INT(MOD(B44,1000)/100)+INT(MOD(B44,100)/10)+MOD(B44,10),9)=0,9,MOD(INT(B44/1000)+INT(MOD(B44,1000)/100)+INT(MOD(B44,100)/10)+MOD(B44,10),9)))</f>
        <v/>
      </c>
      <c r="D44" s="161">
        <f>IF(B44="","",INT(B44/1000)+INT(MOD(B44,1000)/100)+INT(MOD(B44,100)/10)+MOD(B44,10))</f>
        <v/>
      </c>
      <c r="E44" s="172">
        <f>IF(B44="","",LET(d1,INT(B44/1000),d2,INT(MOD(B44,1000)/100),d3,INT(MOD(B44,100)/10),d4,MOD(B44,10),p,(d1=d2)+(d1=d3)+(d1=d4)+(d2=d3)+(d2=d4)+(d3=d4),IF(p=6,"1打(豹子)",IF(p=3,"4打",IF(p=2,"6打",IF(p=1,"12打","24打"))))))</f>
        <v/>
      </c>
      <c r="F44" s="177">
        <f>IF(B44="","",INT(B44/10))</f>
        <v/>
      </c>
      <c r="G44" s="181">
        <f>IF(B44="","",MOD(B44,1000))</f>
        <v/>
      </c>
      <c r="H44" s="161" t="n"/>
      <c r="I44" s="161" t="n"/>
      <c r="J44" s="161" t="n"/>
      <c r="K44" s="161" t="n"/>
      <c r="L44" s="178" t="n"/>
      <c r="M44" s="161" t="n"/>
      <c r="N44" s="178" t="n"/>
      <c r="O44" s="161" t="n"/>
      <c r="P44" s="163" t="n"/>
    </row>
    <row r="45" ht="20" customHeight="1">
      <c r="A45" s="157" t="n">
        <v>40</v>
      </c>
      <c r="B45" s="174" t="n"/>
      <c r="C45" s="165">
        <f>IF(B45="","",IF(MOD(INT(B45/1000)+INT(MOD(B45,1000)/100)+INT(MOD(B45,100)/10)+MOD(B45,10),9)=0,9,MOD(INT(B45/1000)+INT(MOD(B45,1000)/100)+INT(MOD(B45,100)/10)+MOD(B45,10),9)))</f>
        <v/>
      </c>
      <c r="D45" s="167">
        <f>IF(B45="","",INT(B45/1000)+INT(MOD(B45,1000)/100)+INT(MOD(B45,100)/10)+MOD(B45,10))</f>
        <v/>
      </c>
      <c r="E45" s="175">
        <f>IF(B45="","",LET(d1,INT(B45/1000),d2,INT(MOD(B45,1000)/100),d3,INT(MOD(B45,100)/10),d4,MOD(B45,10),p,(d1=d2)+(d1=d3)+(d1=d4)+(d2=d3)+(d2=d4)+(d3=d4),IF(p=6,"1打(豹子)",IF(p=3,"4打",IF(p=2,"6打",IF(p=1,"12打","24打"))))))</f>
        <v/>
      </c>
      <c r="F45" s="179">
        <f>IF(B45="","",INT(B45/10))</f>
        <v/>
      </c>
      <c r="G45" s="182">
        <f>IF(B45="","",MOD(B45,1000))</f>
        <v/>
      </c>
      <c r="H45" s="167" t="n"/>
      <c r="I45" s="167" t="n"/>
      <c r="J45" s="167" t="n"/>
      <c r="K45" s="167" t="n"/>
      <c r="L45" s="180" t="n"/>
      <c r="M45" s="167" t="n"/>
      <c r="N45" s="180" t="n"/>
      <c r="O45" s="167" t="n"/>
      <c r="P45" s="169" t="n"/>
    </row>
    <row r="46" ht="20" customHeight="1">
      <c r="A46" s="157" t="n">
        <v>41</v>
      </c>
      <c r="B46" s="171" t="n"/>
      <c r="C46" s="159">
        <f>IF(B46="","",IF(MOD(INT(B46/1000)+INT(MOD(B46,1000)/100)+INT(MOD(B46,100)/10)+MOD(B46,10),9)=0,9,MOD(INT(B46/1000)+INT(MOD(B46,1000)/100)+INT(MOD(B46,100)/10)+MOD(B46,10),9)))</f>
        <v/>
      </c>
      <c r="D46" s="161">
        <f>IF(B46="","",INT(B46/1000)+INT(MOD(B46,1000)/100)+INT(MOD(B46,100)/10)+MOD(B46,10))</f>
        <v/>
      </c>
      <c r="E46" s="172">
        <f>IF(B46="","",LET(d1,INT(B46/1000),d2,INT(MOD(B46,1000)/100),d3,INT(MOD(B46,100)/10),d4,MOD(B46,10),p,(d1=d2)+(d1=d3)+(d1=d4)+(d2=d3)+(d2=d4)+(d3=d4),IF(p=6,"1打(豹子)",IF(p=3,"4打",IF(p=2,"6打",IF(p=1,"12打","24打"))))))</f>
        <v/>
      </c>
      <c r="F46" s="177">
        <f>IF(B46="","",INT(B46/10))</f>
        <v/>
      </c>
      <c r="G46" s="181">
        <f>IF(B46="","",MOD(B46,1000))</f>
        <v/>
      </c>
      <c r="H46" s="161" t="n"/>
      <c r="I46" s="161" t="n"/>
      <c r="J46" s="161" t="n"/>
      <c r="K46" s="161" t="n"/>
      <c r="L46" s="178" t="n"/>
      <c r="M46" s="161" t="n"/>
      <c r="N46" s="178" t="n"/>
      <c r="O46" s="161" t="n"/>
      <c r="P46" s="163" t="n"/>
    </row>
    <row r="47" ht="20" customHeight="1">
      <c r="A47" s="157" t="n">
        <v>42</v>
      </c>
      <c r="B47" s="174" t="n"/>
      <c r="C47" s="165">
        <f>IF(B47="","",IF(MOD(INT(B47/1000)+INT(MOD(B47,1000)/100)+INT(MOD(B47,100)/10)+MOD(B47,10),9)=0,9,MOD(INT(B47/1000)+INT(MOD(B47,1000)/100)+INT(MOD(B47,100)/10)+MOD(B47,10),9)))</f>
        <v/>
      </c>
      <c r="D47" s="167">
        <f>IF(B47="","",INT(B47/1000)+INT(MOD(B47,1000)/100)+INT(MOD(B47,100)/10)+MOD(B47,10))</f>
        <v/>
      </c>
      <c r="E47" s="175">
        <f>IF(B47="","",LET(d1,INT(B47/1000),d2,INT(MOD(B47,1000)/100),d3,INT(MOD(B47,100)/10),d4,MOD(B47,10),p,(d1=d2)+(d1=d3)+(d1=d4)+(d2=d3)+(d2=d4)+(d3=d4),IF(p=6,"1打(豹子)",IF(p=3,"4打",IF(p=2,"6打",IF(p=1,"12打","24打"))))))</f>
        <v/>
      </c>
      <c r="F47" s="179">
        <f>IF(B47="","",INT(B47/10))</f>
        <v/>
      </c>
      <c r="G47" s="182">
        <f>IF(B47="","",MOD(B47,1000))</f>
        <v/>
      </c>
      <c r="H47" s="167" t="n"/>
      <c r="I47" s="167" t="n"/>
      <c r="J47" s="167" t="n"/>
      <c r="K47" s="167" t="n"/>
      <c r="L47" s="180" t="n"/>
      <c r="M47" s="167" t="n"/>
      <c r="N47" s="180" t="n"/>
      <c r="O47" s="167" t="n"/>
      <c r="P47" s="169" t="n"/>
    </row>
    <row r="48" ht="20" customHeight="1">
      <c r="A48" s="157" t="n">
        <v>43</v>
      </c>
      <c r="B48" s="171" t="n"/>
      <c r="C48" s="159">
        <f>IF(B48="","",IF(MOD(INT(B48/1000)+INT(MOD(B48,1000)/100)+INT(MOD(B48,100)/10)+MOD(B48,10),9)=0,9,MOD(INT(B48/1000)+INT(MOD(B48,1000)/100)+INT(MOD(B48,100)/10)+MOD(B48,10),9)))</f>
        <v/>
      </c>
      <c r="D48" s="161">
        <f>IF(B48="","",INT(B48/1000)+INT(MOD(B48,1000)/100)+INT(MOD(B48,100)/10)+MOD(B48,10))</f>
        <v/>
      </c>
      <c r="E48" s="172">
        <f>IF(B48="","",LET(d1,INT(B48/1000),d2,INT(MOD(B48,1000)/100),d3,INT(MOD(B48,100)/10),d4,MOD(B48,10),p,(d1=d2)+(d1=d3)+(d1=d4)+(d2=d3)+(d2=d4)+(d3=d4),IF(p=6,"1打(豹子)",IF(p=3,"4打",IF(p=2,"6打",IF(p=1,"12打","24打"))))))</f>
        <v/>
      </c>
      <c r="F48" s="177">
        <f>IF(B48="","",INT(B48/10))</f>
        <v/>
      </c>
      <c r="G48" s="181">
        <f>IF(B48="","",MOD(B48,1000))</f>
        <v/>
      </c>
      <c r="H48" s="161" t="n"/>
      <c r="I48" s="161" t="n"/>
      <c r="J48" s="161" t="n"/>
      <c r="K48" s="161" t="n"/>
      <c r="L48" s="178" t="n"/>
      <c r="M48" s="161" t="n"/>
      <c r="N48" s="178" t="n"/>
      <c r="O48" s="161" t="n"/>
      <c r="P48" s="163" t="n"/>
    </row>
    <row r="49" ht="20" customHeight="1">
      <c r="A49" s="157" t="n">
        <v>44</v>
      </c>
      <c r="B49" s="174" t="n"/>
      <c r="C49" s="165">
        <f>IF(B49="","",IF(MOD(INT(B49/1000)+INT(MOD(B49,1000)/100)+INT(MOD(B49,100)/10)+MOD(B49,10),9)=0,9,MOD(INT(B49/1000)+INT(MOD(B49,1000)/100)+INT(MOD(B49,100)/10)+MOD(B49,10),9)))</f>
        <v/>
      </c>
      <c r="D49" s="167">
        <f>IF(B49="","",INT(B49/1000)+INT(MOD(B49,1000)/100)+INT(MOD(B49,100)/10)+MOD(B49,10))</f>
        <v/>
      </c>
      <c r="E49" s="175">
        <f>IF(B49="","",LET(d1,INT(B49/1000),d2,INT(MOD(B49,1000)/100),d3,INT(MOD(B49,100)/10),d4,MOD(B49,10),p,(d1=d2)+(d1=d3)+(d1=d4)+(d2=d3)+(d2=d4)+(d3=d4),IF(p=6,"1打(豹子)",IF(p=3,"4打",IF(p=2,"6打",IF(p=1,"12打","24打"))))))</f>
        <v/>
      </c>
      <c r="F49" s="179">
        <f>IF(B49="","",INT(B49/10))</f>
        <v/>
      </c>
      <c r="G49" s="182">
        <f>IF(B49="","",MOD(B49,1000))</f>
        <v/>
      </c>
      <c r="H49" s="167" t="n"/>
      <c r="I49" s="167" t="n"/>
      <c r="J49" s="167" t="n"/>
      <c r="K49" s="167" t="n"/>
      <c r="L49" s="180" t="n"/>
      <c r="M49" s="167" t="n"/>
      <c r="N49" s="180" t="n"/>
      <c r="O49" s="167" t="n"/>
      <c r="P49" s="169" t="n"/>
    </row>
    <row r="50" ht="20" customHeight="1">
      <c r="A50" s="157" t="n">
        <v>45</v>
      </c>
      <c r="B50" s="171" t="n"/>
      <c r="C50" s="159">
        <f>IF(B50="","",IF(MOD(INT(B50/1000)+INT(MOD(B50,1000)/100)+INT(MOD(B50,100)/10)+MOD(B50,10),9)=0,9,MOD(INT(B50/1000)+INT(MOD(B50,1000)/100)+INT(MOD(B50,100)/10)+MOD(B50,10),9)))</f>
        <v/>
      </c>
      <c r="D50" s="161">
        <f>IF(B50="","",INT(B50/1000)+INT(MOD(B50,1000)/100)+INT(MOD(B50,100)/10)+MOD(B50,10))</f>
        <v/>
      </c>
      <c r="E50" s="172">
        <f>IF(B50="","",LET(d1,INT(B50/1000),d2,INT(MOD(B50,1000)/100),d3,INT(MOD(B50,100)/10),d4,MOD(B50,10),p,(d1=d2)+(d1=d3)+(d1=d4)+(d2=d3)+(d2=d4)+(d3=d4),IF(p=6,"1打(豹子)",IF(p=3,"4打",IF(p=2,"6打",IF(p=1,"12打","24打"))))))</f>
        <v/>
      </c>
      <c r="F50" s="177">
        <f>IF(B50="","",INT(B50/10))</f>
        <v/>
      </c>
      <c r="G50" s="181">
        <f>IF(B50="","",MOD(B50,1000))</f>
        <v/>
      </c>
      <c r="H50" s="161" t="n"/>
      <c r="I50" s="161" t="n"/>
      <c r="J50" s="161" t="n"/>
      <c r="K50" s="161" t="n"/>
      <c r="L50" s="178" t="n"/>
      <c r="M50" s="161" t="n"/>
      <c r="N50" s="178" t="n"/>
      <c r="O50" s="161" t="n"/>
      <c r="P50" s="163" t="n"/>
    </row>
    <row r="51" ht="20" customHeight="1">
      <c r="A51" s="157" t="n">
        <v>46</v>
      </c>
      <c r="B51" s="174" t="n"/>
      <c r="C51" s="165">
        <f>IF(B51="","",IF(MOD(INT(B51/1000)+INT(MOD(B51,1000)/100)+INT(MOD(B51,100)/10)+MOD(B51,10),9)=0,9,MOD(INT(B51/1000)+INT(MOD(B51,1000)/100)+INT(MOD(B51,100)/10)+MOD(B51,10),9)))</f>
        <v/>
      </c>
      <c r="D51" s="167">
        <f>IF(B51="","",INT(B51/1000)+INT(MOD(B51,1000)/100)+INT(MOD(B51,100)/10)+MOD(B51,10))</f>
        <v/>
      </c>
      <c r="E51" s="175">
        <f>IF(B51="","",LET(d1,INT(B51/1000),d2,INT(MOD(B51,1000)/100),d3,INT(MOD(B51,100)/10),d4,MOD(B51,10),p,(d1=d2)+(d1=d3)+(d1=d4)+(d2=d3)+(d2=d4)+(d3=d4),IF(p=6,"1打(豹子)",IF(p=3,"4打",IF(p=2,"6打",IF(p=1,"12打","24打"))))))</f>
        <v/>
      </c>
      <c r="F51" s="179">
        <f>IF(B51="","",INT(B51/10))</f>
        <v/>
      </c>
      <c r="G51" s="182">
        <f>IF(B51="","",MOD(B51,1000))</f>
        <v/>
      </c>
      <c r="H51" s="167" t="n"/>
      <c r="I51" s="167" t="n"/>
      <c r="J51" s="167" t="n"/>
      <c r="K51" s="167" t="n"/>
      <c r="L51" s="180" t="n"/>
      <c r="M51" s="167" t="n"/>
      <c r="N51" s="180" t="n"/>
      <c r="O51" s="167" t="n"/>
      <c r="P51" s="169" t="n"/>
    </row>
    <row r="52" ht="20" customHeight="1">
      <c r="A52" s="157" t="n">
        <v>47</v>
      </c>
      <c r="B52" s="171" t="n"/>
      <c r="C52" s="159">
        <f>IF(B52="","",IF(MOD(INT(B52/1000)+INT(MOD(B52,1000)/100)+INT(MOD(B52,100)/10)+MOD(B52,10),9)=0,9,MOD(INT(B52/1000)+INT(MOD(B52,1000)/100)+INT(MOD(B52,100)/10)+MOD(B52,10),9)))</f>
        <v/>
      </c>
      <c r="D52" s="161">
        <f>IF(B52="","",INT(B52/1000)+INT(MOD(B52,1000)/100)+INT(MOD(B52,100)/10)+MOD(B52,10))</f>
        <v/>
      </c>
      <c r="E52" s="172">
        <f>IF(B52="","",LET(d1,INT(B52/1000),d2,INT(MOD(B52,1000)/100),d3,INT(MOD(B52,100)/10),d4,MOD(B52,10),p,(d1=d2)+(d1=d3)+(d1=d4)+(d2=d3)+(d2=d4)+(d3=d4),IF(p=6,"1打(豹子)",IF(p=3,"4打",IF(p=2,"6打",IF(p=1,"12打","24打"))))))</f>
        <v/>
      </c>
      <c r="F52" s="177">
        <f>IF(B52="","",INT(B52/10))</f>
        <v/>
      </c>
      <c r="G52" s="181">
        <f>IF(B52="","",MOD(B52,1000))</f>
        <v/>
      </c>
      <c r="H52" s="161" t="n"/>
      <c r="I52" s="161" t="n"/>
      <c r="J52" s="161" t="n"/>
      <c r="K52" s="161" t="n"/>
      <c r="L52" s="178" t="n"/>
      <c r="M52" s="161" t="n"/>
      <c r="N52" s="178" t="n"/>
      <c r="O52" s="161" t="n"/>
      <c r="P52" s="163" t="n"/>
    </row>
    <row r="53" ht="20" customHeight="1">
      <c r="A53" s="157" t="n">
        <v>48</v>
      </c>
      <c r="B53" s="174" t="n"/>
      <c r="C53" s="165">
        <f>IF(B53="","",IF(MOD(INT(B53/1000)+INT(MOD(B53,1000)/100)+INT(MOD(B53,100)/10)+MOD(B53,10),9)=0,9,MOD(INT(B53/1000)+INT(MOD(B53,1000)/100)+INT(MOD(B53,100)/10)+MOD(B53,10),9)))</f>
        <v/>
      </c>
      <c r="D53" s="167">
        <f>IF(B53="","",INT(B53/1000)+INT(MOD(B53,1000)/100)+INT(MOD(B53,100)/10)+MOD(B53,10))</f>
        <v/>
      </c>
      <c r="E53" s="175">
        <f>IF(B53="","",LET(d1,INT(B53/1000),d2,INT(MOD(B53,1000)/100),d3,INT(MOD(B53,100)/10),d4,MOD(B53,10),p,(d1=d2)+(d1=d3)+(d1=d4)+(d2=d3)+(d2=d4)+(d3=d4),IF(p=6,"1打(豹子)",IF(p=3,"4打",IF(p=2,"6打",IF(p=1,"12打","24打"))))))</f>
        <v/>
      </c>
      <c r="F53" s="179">
        <f>IF(B53="","",INT(B53/10))</f>
        <v/>
      </c>
      <c r="G53" s="182">
        <f>IF(B53="","",MOD(B53,1000))</f>
        <v/>
      </c>
      <c r="H53" s="167" t="n"/>
      <c r="I53" s="167" t="n"/>
      <c r="J53" s="167" t="n"/>
      <c r="K53" s="167" t="n"/>
      <c r="L53" s="180" t="n"/>
      <c r="M53" s="167" t="n"/>
      <c r="N53" s="180" t="n"/>
      <c r="O53" s="167" t="n"/>
      <c r="P53" s="169" t="n"/>
    </row>
    <row r="54" ht="20" customHeight="1">
      <c r="A54" s="157" t="n">
        <v>49</v>
      </c>
      <c r="B54" s="171" t="n"/>
      <c r="C54" s="159">
        <f>IF(B54="","",IF(MOD(INT(B54/1000)+INT(MOD(B54,1000)/100)+INT(MOD(B54,100)/10)+MOD(B54,10),9)=0,9,MOD(INT(B54/1000)+INT(MOD(B54,1000)/100)+INT(MOD(B54,100)/10)+MOD(B54,10),9)))</f>
        <v/>
      </c>
      <c r="D54" s="161">
        <f>IF(B54="","",INT(B54/1000)+INT(MOD(B54,1000)/100)+INT(MOD(B54,100)/10)+MOD(B54,10))</f>
        <v/>
      </c>
      <c r="E54" s="172">
        <f>IF(B54="","",LET(d1,INT(B54/1000),d2,INT(MOD(B54,1000)/100),d3,INT(MOD(B54,100)/10),d4,MOD(B54,10),p,(d1=d2)+(d1=d3)+(d1=d4)+(d2=d3)+(d2=d4)+(d3=d4),IF(p=6,"1打(豹子)",IF(p=3,"4打",IF(p=2,"6打",IF(p=1,"12打","24打"))))))</f>
        <v/>
      </c>
      <c r="F54" s="177">
        <f>IF(B54="","",INT(B54/10))</f>
        <v/>
      </c>
      <c r="G54" s="181">
        <f>IF(B54="","",MOD(B54,1000))</f>
        <v/>
      </c>
      <c r="H54" s="161" t="n"/>
      <c r="I54" s="161" t="n"/>
      <c r="J54" s="161" t="n"/>
      <c r="K54" s="161" t="n"/>
      <c r="L54" s="178" t="n"/>
      <c r="M54" s="161" t="n"/>
      <c r="N54" s="178" t="n"/>
      <c r="O54" s="161" t="n"/>
      <c r="P54" s="163" t="n"/>
    </row>
    <row r="55" ht="20" customHeight="1">
      <c r="A55" s="157" t="n">
        <v>50</v>
      </c>
      <c r="B55" s="174" t="n"/>
      <c r="C55" s="165">
        <f>IF(B55="","",IF(MOD(INT(B55/1000)+INT(MOD(B55,1000)/100)+INT(MOD(B55,100)/10)+MOD(B55,10),9)=0,9,MOD(INT(B55/1000)+INT(MOD(B55,1000)/100)+INT(MOD(B55,100)/10)+MOD(B55,10),9)))</f>
        <v/>
      </c>
      <c r="D55" s="167">
        <f>IF(B55="","",INT(B55/1000)+INT(MOD(B55,1000)/100)+INT(MOD(B55,100)/10)+MOD(B55,10))</f>
        <v/>
      </c>
      <c r="E55" s="175">
        <f>IF(B55="","",LET(d1,INT(B55/1000),d2,INT(MOD(B55,1000)/100),d3,INT(MOD(B55,100)/10),d4,MOD(B55,10),p,(d1=d2)+(d1=d3)+(d1=d4)+(d2=d3)+(d2=d4)+(d3=d4),IF(p=6,"1打(豹子)",IF(p=3,"4打",IF(p=2,"6打",IF(p=1,"12打","24打"))))))</f>
        <v/>
      </c>
      <c r="F55" s="179">
        <f>IF(B55="","",INT(B55/10))</f>
        <v/>
      </c>
      <c r="G55" s="182">
        <f>IF(B55="","",MOD(B55,1000))</f>
        <v/>
      </c>
      <c r="H55" s="167" t="n"/>
      <c r="I55" s="167" t="n"/>
      <c r="J55" s="167" t="n"/>
      <c r="K55" s="167" t="n"/>
      <c r="L55" s="180" t="n"/>
      <c r="M55" s="167" t="n"/>
      <c r="N55" s="180" t="n"/>
      <c r="O55" s="167" t="n"/>
      <c r="P55" s="169" t="n"/>
    </row>
    <row r="56" ht="20" customHeight="1">
      <c r="A56" s="157" t="n">
        <v>51</v>
      </c>
      <c r="B56" s="171" t="n"/>
      <c r="C56" s="159">
        <f>IF(B56="","",IF(MOD(INT(B56/1000)+INT(MOD(B56,1000)/100)+INT(MOD(B56,100)/10)+MOD(B56,10),9)=0,9,MOD(INT(B56/1000)+INT(MOD(B56,1000)/100)+INT(MOD(B56,100)/10)+MOD(B56,10),9)))</f>
        <v/>
      </c>
      <c r="D56" s="161">
        <f>IF(B56="","",INT(B56/1000)+INT(MOD(B56,1000)/100)+INT(MOD(B56,100)/10)+MOD(B56,10))</f>
        <v/>
      </c>
      <c r="E56" s="172">
        <f>IF(B56="","",LET(d1,INT(B56/1000),d2,INT(MOD(B56,1000)/100),d3,INT(MOD(B56,100)/10),d4,MOD(B56,10),p,(d1=d2)+(d1=d3)+(d1=d4)+(d2=d3)+(d2=d4)+(d3=d4),IF(p=6,"1打(豹子)",IF(p=3,"4打",IF(p=2,"6打",IF(p=1,"12打","24打"))))))</f>
        <v/>
      </c>
      <c r="F56" s="177">
        <f>IF(B56="","",INT(B56/10))</f>
        <v/>
      </c>
      <c r="G56" s="181">
        <f>IF(B56="","",MOD(B56,1000))</f>
        <v/>
      </c>
      <c r="H56" s="161" t="n"/>
      <c r="I56" s="161" t="n"/>
      <c r="J56" s="161" t="n"/>
      <c r="K56" s="161" t="n"/>
      <c r="L56" s="178" t="n"/>
      <c r="M56" s="161" t="n"/>
      <c r="N56" s="178" t="n"/>
      <c r="O56" s="161" t="n"/>
      <c r="P56" s="163" t="n"/>
    </row>
    <row r="57" ht="20" customHeight="1">
      <c r="A57" s="157" t="n">
        <v>52</v>
      </c>
      <c r="B57" s="174" t="n"/>
      <c r="C57" s="165">
        <f>IF(B57="","",IF(MOD(INT(B57/1000)+INT(MOD(B57,1000)/100)+INT(MOD(B57,100)/10)+MOD(B57,10),9)=0,9,MOD(INT(B57/1000)+INT(MOD(B57,1000)/100)+INT(MOD(B57,100)/10)+MOD(B57,10),9)))</f>
        <v/>
      </c>
      <c r="D57" s="167">
        <f>IF(B57="","",INT(B57/1000)+INT(MOD(B57,1000)/100)+INT(MOD(B57,100)/10)+MOD(B57,10))</f>
        <v/>
      </c>
      <c r="E57" s="175">
        <f>IF(B57="","",LET(d1,INT(B57/1000),d2,INT(MOD(B57,1000)/100),d3,INT(MOD(B57,100)/10),d4,MOD(B57,10),p,(d1=d2)+(d1=d3)+(d1=d4)+(d2=d3)+(d2=d4)+(d3=d4),IF(p=6,"1打(豹子)",IF(p=3,"4打",IF(p=2,"6打",IF(p=1,"12打","24打"))))))</f>
        <v/>
      </c>
      <c r="F57" s="179">
        <f>IF(B57="","",INT(B57/10))</f>
        <v/>
      </c>
      <c r="G57" s="182">
        <f>IF(B57="","",MOD(B57,1000))</f>
        <v/>
      </c>
      <c r="H57" s="167" t="n"/>
      <c r="I57" s="167" t="n"/>
      <c r="J57" s="167" t="n"/>
      <c r="K57" s="167" t="n"/>
      <c r="L57" s="180" t="n"/>
      <c r="M57" s="167" t="n"/>
      <c r="N57" s="180" t="n"/>
      <c r="O57" s="167" t="n"/>
      <c r="P57" s="169" t="n"/>
    </row>
    <row r="58" ht="20" customHeight="1">
      <c r="A58" s="157" t="n">
        <v>53</v>
      </c>
      <c r="B58" s="171" t="n"/>
      <c r="C58" s="159">
        <f>IF(B58="","",IF(MOD(INT(B58/1000)+INT(MOD(B58,1000)/100)+INT(MOD(B58,100)/10)+MOD(B58,10),9)=0,9,MOD(INT(B58/1000)+INT(MOD(B58,1000)/100)+INT(MOD(B58,100)/10)+MOD(B58,10),9)))</f>
        <v/>
      </c>
      <c r="D58" s="161">
        <f>IF(B58="","",INT(B58/1000)+INT(MOD(B58,1000)/100)+INT(MOD(B58,100)/10)+MOD(B58,10))</f>
        <v/>
      </c>
      <c r="E58" s="172">
        <f>IF(B58="","",LET(d1,INT(B58/1000),d2,INT(MOD(B58,1000)/100),d3,INT(MOD(B58,100)/10),d4,MOD(B58,10),p,(d1=d2)+(d1=d3)+(d1=d4)+(d2=d3)+(d2=d4)+(d3=d4),IF(p=6,"1打(豹子)",IF(p=3,"4打",IF(p=2,"6打",IF(p=1,"12打","24打"))))))</f>
        <v/>
      </c>
      <c r="F58" s="177">
        <f>IF(B58="","",INT(B58/10))</f>
        <v/>
      </c>
      <c r="G58" s="181">
        <f>IF(B58="","",MOD(B58,1000))</f>
        <v/>
      </c>
      <c r="H58" s="161" t="n"/>
      <c r="I58" s="161" t="n"/>
      <c r="J58" s="161" t="n"/>
      <c r="K58" s="161" t="n"/>
      <c r="L58" s="178" t="n"/>
      <c r="M58" s="161" t="n"/>
      <c r="N58" s="178" t="n"/>
      <c r="O58" s="161" t="n"/>
      <c r="P58" s="163" t="n"/>
    </row>
    <row r="59" ht="20" customHeight="1">
      <c r="A59" s="157" t="n">
        <v>54</v>
      </c>
      <c r="B59" s="174" t="n"/>
      <c r="C59" s="165">
        <f>IF(B59="","",IF(MOD(INT(B59/1000)+INT(MOD(B59,1000)/100)+INT(MOD(B59,100)/10)+MOD(B59,10),9)=0,9,MOD(INT(B59/1000)+INT(MOD(B59,1000)/100)+INT(MOD(B59,100)/10)+MOD(B59,10),9)))</f>
        <v/>
      </c>
      <c r="D59" s="167">
        <f>IF(B59="","",INT(B59/1000)+INT(MOD(B59,1000)/100)+INT(MOD(B59,100)/10)+MOD(B59,10))</f>
        <v/>
      </c>
      <c r="E59" s="175">
        <f>IF(B59="","",LET(d1,INT(B59/1000),d2,INT(MOD(B59,1000)/100),d3,INT(MOD(B59,100)/10),d4,MOD(B59,10),p,(d1=d2)+(d1=d3)+(d1=d4)+(d2=d3)+(d2=d4)+(d3=d4),IF(p=6,"1打(豹子)",IF(p=3,"4打",IF(p=2,"6打",IF(p=1,"12打","24打"))))))</f>
        <v/>
      </c>
      <c r="F59" s="179">
        <f>IF(B59="","",INT(B59/10))</f>
        <v/>
      </c>
      <c r="G59" s="182">
        <f>IF(B59="","",MOD(B59,1000))</f>
        <v/>
      </c>
      <c r="H59" s="167" t="n"/>
      <c r="I59" s="167" t="n"/>
      <c r="J59" s="167" t="n"/>
      <c r="K59" s="167" t="n"/>
      <c r="L59" s="180" t="n"/>
      <c r="M59" s="167" t="n"/>
      <c r="N59" s="180" t="n"/>
      <c r="O59" s="167" t="n"/>
      <c r="P59" s="169" t="n"/>
    </row>
    <row r="60" ht="20" customHeight="1">
      <c r="A60" s="157" t="n">
        <v>55</v>
      </c>
      <c r="B60" s="171" t="n"/>
      <c r="C60" s="159">
        <f>IF(B60="","",IF(MOD(INT(B60/1000)+INT(MOD(B60,1000)/100)+INT(MOD(B60,100)/10)+MOD(B60,10),9)=0,9,MOD(INT(B60/1000)+INT(MOD(B60,1000)/100)+INT(MOD(B60,100)/10)+MOD(B60,10),9)))</f>
        <v/>
      </c>
      <c r="D60" s="161">
        <f>IF(B60="","",INT(B60/1000)+INT(MOD(B60,1000)/100)+INT(MOD(B60,100)/10)+MOD(B60,10))</f>
        <v/>
      </c>
      <c r="E60" s="172">
        <f>IF(B60="","",LET(d1,INT(B60/1000),d2,INT(MOD(B60,1000)/100),d3,INT(MOD(B60,100)/10),d4,MOD(B60,10),p,(d1=d2)+(d1=d3)+(d1=d4)+(d2=d3)+(d2=d4)+(d3=d4),IF(p=6,"1打(豹子)",IF(p=3,"4打",IF(p=2,"6打",IF(p=1,"12打","24打"))))))</f>
        <v/>
      </c>
      <c r="F60" s="177">
        <f>IF(B60="","",INT(B60/10))</f>
        <v/>
      </c>
      <c r="G60" s="181">
        <f>IF(B60="","",MOD(B60,1000))</f>
        <v/>
      </c>
      <c r="H60" s="161" t="n"/>
      <c r="I60" s="161" t="n"/>
      <c r="J60" s="161" t="n"/>
      <c r="K60" s="161" t="n"/>
      <c r="L60" s="178" t="n"/>
      <c r="M60" s="161" t="n"/>
      <c r="N60" s="178" t="n"/>
      <c r="O60" s="161" t="n"/>
      <c r="P60" s="163" t="n"/>
    </row>
    <row r="61" ht="20" customHeight="1">
      <c r="A61" s="157" t="n">
        <v>56</v>
      </c>
      <c r="B61" s="174" t="n"/>
      <c r="C61" s="165">
        <f>IF(B61="","",IF(MOD(INT(B61/1000)+INT(MOD(B61,1000)/100)+INT(MOD(B61,100)/10)+MOD(B61,10),9)=0,9,MOD(INT(B61/1000)+INT(MOD(B61,1000)/100)+INT(MOD(B61,100)/10)+MOD(B61,10),9)))</f>
        <v/>
      </c>
      <c r="D61" s="167">
        <f>IF(B61="","",INT(B61/1000)+INT(MOD(B61,1000)/100)+INT(MOD(B61,100)/10)+MOD(B61,10))</f>
        <v/>
      </c>
      <c r="E61" s="175">
        <f>IF(B61="","",LET(d1,INT(B61/1000),d2,INT(MOD(B61,1000)/100),d3,INT(MOD(B61,100)/10),d4,MOD(B61,10),p,(d1=d2)+(d1=d3)+(d1=d4)+(d2=d3)+(d2=d4)+(d3=d4),IF(p=6,"1打(豹子)",IF(p=3,"4打",IF(p=2,"6打",IF(p=1,"12打","24打"))))))</f>
        <v/>
      </c>
      <c r="F61" s="179">
        <f>IF(B61="","",INT(B61/10))</f>
        <v/>
      </c>
      <c r="G61" s="182">
        <f>IF(B61="","",MOD(B61,1000))</f>
        <v/>
      </c>
      <c r="H61" s="167" t="n"/>
      <c r="I61" s="167" t="n"/>
      <c r="J61" s="167" t="n"/>
      <c r="K61" s="167" t="n"/>
      <c r="L61" s="180" t="n"/>
      <c r="M61" s="167" t="n"/>
      <c r="N61" s="180" t="n"/>
      <c r="O61" s="167" t="n"/>
      <c r="P61" s="169" t="n"/>
    </row>
    <row r="62" ht="20" customHeight="1">
      <c r="A62" s="157" t="n">
        <v>57</v>
      </c>
      <c r="B62" s="171" t="n"/>
      <c r="C62" s="159">
        <f>IF(B62="","",IF(MOD(INT(B62/1000)+INT(MOD(B62,1000)/100)+INT(MOD(B62,100)/10)+MOD(B62,10),9)=0,9,MOD(INT(B62/1000)+INT(MOD(B62,1000)/100)+INT(MOD(B62,100)/10)+MOD(B62,10),9)))</f>
        <v/>
      </c>
      <c r="D62" s="161">
        <f>IF(B62="","",INT(B62/1000)+INT(MOD(B62,1000)/100)+INT(MOD(B62,100)/10)+MOD(B62,10))</f>
        <v/>
      </c>
      <c r="E62" s="172">
        <f>IF(B62="","",LET(d1,INT(B62/1000),d2,INT(MOD(B62,1000)/100),d3,INT(MOD(B62,100)/10),d4,MOD(B62,10),p,(d1=d2)+(d1=d3)+(d1=d4)+(d2=d3)+(d2=d4)+(d3=d4),IF(p=6,"1打(豹子)",IF(p=3,"4打",IF(p=2,"6打",IF(p=1,"12打","24打"))))))</f>
        <v/>
      </c>
      <c r="F62" s="177">
        <f>IF(B62="","",INT(B62/10))</f>
        <v/>
      </c>
      <c r="G62" s="181">
        <f>IF(B62="","",MOD(B62,1000))</f>
        <v/>
      </c>
      <c r="H62" s="161" t="n"/>
      <c r="I62" s="161" t="n"/>
      <c r="J62" s="161" t="n"/>
      <c r="K62" s="161" t="n"/>
      <c r="L62" s="178" t="n"/>
      <c r="M62" s="161" t="n"/>
      <c r="N62" s="178" t="n"/>
      <c r="O62" s="161" t="n"/>
      <c r="P62" s="163" t="n"/>
    </row>
    <row r="63" ht="20" customHeight="1">
      <c r="A63" s="157" t="n">
        <v>58</v>
      </c>
      <c r="B63" s="174" t="n"/>
      <c r="C63" s="165">
        <f>IF(B63="","",IF(MOD(INT(B63/1000)+INT(MOD(B63,1000)/100)+INT(MOD(B63,100)/10)+MOD(B63,10),9)=0,9,MOD(INT(B63/1000)+INT(MOD(B63,1000)/100)+INT(MOD(B63,100)/10)+MOD(B63,10),9)))</f>
        <v/>
      </c>
      <c r="D63" s="167">
        <f>IF(B63="","",INT(B63/1000)+INT(MOD(B63,1000)/100)+INT(MOD(B63,100)/10)+MOD(B63,10))</f>
        <v/>
      </c>
      <c r="E63" s="175">
        <f>IF(B63="","",LET(d1,INT(B63/1000),d2,INT(MOD(B63,1000)/100),d3,INT(MOD(B63,100)/10),d4,MOD(B63,10),p,(d1=d2)+(d1=d3)+(d1=d4)+(d2=d3)+(d2=d4)+(d3=d4),IF(p=6,"1打(豹子)",IF(p=3,"4打",IF(p=2,"6打",IF(p=1,"12打","24打"))))))</f>
        <v/>
      </c>
      <c r="F63" s="179">
        <f>IF(B63="","",INT(B63/10))</f>
        <v/>
      </c>
      <c r="G63" s="182">
        <f>IF(B63="","",MOD(B63,1000))</f>
        <v/>
      </c>
      <c r="H63" s="167" t="n"/>
      <c r="I63" s="167" t="n"/>
      <c r="J63" s="167" t="n"/>
      <c r="K63" s="167" t="n"/>
      <c r="L63" s="180" t="n"/>
      <c r="M63" s="167" t="n"/>
      <c r="N63" s="180" t="n"/>
      <c r="O63" s="167" t="n"/>
      <c r="P63" s="169" t="n"/>
    </row>
    <row r="64" ht="20" customHeight="1">
      <c r="A64" s="157" t="n">
        <v>59</v>
      </c>
      <c r="B64" s="171" t="n"/>
      <c r="C64" s="159">
        <f>IF(B64="","",IF(MOD(INT(B64/1000)+INT(MOD(B64,1000)/100)+INT(MOD(B64,100)/10)+MOD(B64,10),9)=0,9,MOD(INT(B64/1000)+INT(MOD(B64,1000)/100)+INT(MOD(B64,100)/10)+MOD(B64,10),9)))</f>
        <v/>
      </c>
      <c r="D64" s="161">
        <f>IF(B64="","",INT(B64/1000)+INT(MOD(B64,1000)/100)+INT(MOD(B64,100)/10)+MOD(B64,10))</f>
        <v/>
      </c>
      <c r="E64" s="172">
        <f>IF(B64="","",LET(d1,INT(B64/1000),d2,INT(MOD(B64,1000)/100),d3,INT(MOD(B64,100)/10),d4,MOD(B64,10),p,(d1=d2)+(d1=d3)+(d1=d4)+(d2=d3)+(d2=d4)+(d3=d4),IF(p=6,"1打(豹子)",IF(p=3,"4打",IF(p=2,"6打",IF(p=1,"12打","24打"))))))</f>
        <v/>
      </c>
      <c r="F64" s="177">
        <f>IF(B64="","",INT(B64/10))</f>
        <v/>
      </c>
      <c r="G64" s="181">
        <f>IF(B64="","",MOD(B64,1000))</f>
        <v/>
      </c>
      <c r="H64" s="161" t="n"/>
      <c r="I64" s="161" t="n"/>
      <c r="J64" s="161" t="n"/>
      <c r="K64" s="161" t="n"/>
      <c r="L64" s="178" t="n"/>
      <c r="M64" s="161" t="n"/>
      <c r="N64" s="178" t="n"/>
      <c r="O64" s="161" t="n"/>
      <c r="P64" s="163" t="n"/>
    </row>
    <row r="65" ht="20" customHeight="1">
      <c r="A65" s="157" t="n">
        <v>60</v>
      </c>
      <c r="B65" s="174" t="n"/>
      <c r="C65" s="165">
        <f>IF(B65="","",IF(MOD(INT(B65/1000)+INT(MOD(B65,1000)/100)+INT(MOD(B65,100)/10)+MOD(B65,10),9)=0,9,MOD(INT(B65/1000)+INT(MOD(B65,1000)/100)+INT(MOD(B65,100)/10)+MOD(B65,10),9)))</f>
        <v/>
      </c>
      <c r="D65" s="167">
        <f>IF(B65="","",INT(B65/1000)+INT(MOD(B65,1000)/100)+INT(MOD(B65,100)/10)+MOD(B65,10))</f>
        <v/>
      </c>
      <c r="E65" s="175">
        <f>IF(B65="","",LET(d1,INT(B65/1000),d2,INT(MOD(B65,1000)/100),d3,INT(MOD(B65,100)/10),d4,MOD(B65,10),p,(d1=d2)+(d1=d3)+(d1=d4)+(d2=d3)+(d2=d4)+(d3=d4),IF(p=6,"1打(豹子)",IF(p=3,"4打",IF(p=2,"6打",IF(p=1,"12打","24打"))))))</f>
        <v/>
      </c>
      <c r="F65" s="179">
        <f>IF(B65="","",INT(B65/10))</f>
        <v/>
      </c>
      <c r="G65" s="182">
        <f>IF(B65="","",MOD(B65,1000))</f>
        <v/>
      </c>
      <c r="H65" s="167" t="n"/>
      <c r="I65" s="167" t="n"/>
      <c r="J65" s="167" t="n"/>
      <c r="K65" s="167" t="n"/>
      <c r="L65" s="180" t="n"/>
      <c r="M65" s="167" t="n"/>
      <c r="N65" s="180" t="n"/>
      <c r="O65" s="167" t="n"/>
      <c r="P65" s="169" t="n"/>
    </row>
    <row r="66" ht="20" customHeight="1">
      <c r="A66" s="157" t="n">
        <v>61</v>
      </c>
      <c r="B66" s="171" t="n"/>
      <c r="C66" s="159">
        <f>IF(B66="","",IF(MOD(INT(B66/1000)+INT(MOD(B66,1000)/100)+INT(MOD(B66,100)/10)+MOD(B66,10),9)=0,9,MOD(INT(B66/1000)+INT(MOD(B66,1000)/100)+INT(MOD(B66,100)/10)+MOD(B66,10),9)))</f>
        <v/>
      </c>
      <c r="D66" s="161">
        <f>IF(B66="","",INT(B66/1000)+INT(MOD(B66,1000)/100)+INT(MOD(B66,100)/10)+MOD(B66,10))</f>
        <v/>
      </c>
      <c r="E66" s="172">
        <f>IF(B66="","",LET(d1,INT(B66/1000),d2,INT(MOD(B66,1000)/100),d3,INT(MOD(B66,100)/10),d4,MOD(B66,10),p,(d1=d2)+(d1=d3)+(d1=d4)+(d2=d3)+(d2=d4)+(d3=d4),IF(p=6,"1打(豹子)",IF(p=3,"4打",IF(p=2,"6打",IF(p=1,"12打","24打"))))))</f>
        <v/>
      </c>
      <c r="F66" s="177">
        <f>IF(B66="","",INT(B66/10))</f>
        <v/>
      </c>
      <c r="G66" s="181">
        <f>IF(B66="","",MOD(B66,1000))</f>
        <v/>
      </c>
      <c r="H66" s="161" t="n"/>
      <c r="I66" s="161" t="n"/>
      <c r="J66" s="161" t="n"/>
      <c r="K66" s="161" t="n"/>
      <c r="L66" s="178" t="n"/>
      <c r="M66" s="161" t="n"/>
      <c r="N66" s="178" t="n"/>
      <c r="O66" s="161" t="n"/>
      <c r="P66" s="163" t="n"/>
    </row>
    <row r="67" ht="20" customHeight="1">
      <c r="A67" s="157" t="n">
        <v>62</v>
      </c>
      <c r="B67" s="174" t="n"/>
      <c r="C67" s="165">
        <f>IF(B67="","",IF(MOD(INT(B67/1000)+INT(MOD(B67,1000)/100)+INT(MOD(B67,100)/10)+MOD(B67,10),9)=0,9,MOD(INT(B67/1000)+INT(MOD(B67,1000)/100)+INT(MOD(B67,100)/10)+MOD(B67,10),9)))</f>
        <v/>
      </c>
      <c r="D67" s="167">
        <f>IF(B67="","",INT(B67/1000)+INT(MOD(B67,1000)/100)+INT(MOD(B67,100)/10)+MOD(B67,10))</f>
        <v/>
      </c>
      <c r="E67" s="175">
        <f>IF(B67="","",LET(d1,INT(B67/1000),d2,INT(MOD(B67,1000)/100),d3,INT(MOD(B67,100)/10),d4,MOD(B67,10),p,(d1=d2)+(d1=d3)+(d1=d4)+(d2=d3)+(d2=d4)+(d3=d4),IF(p=6,"1打(豹子)",IF(p=3,"4打",IF(p=2,"6打",IF(p=1,"12打","24打"))))))</f>
        <v/>
      </c>
      <c r="F67" s="179">
        <f>IF(B67="","",INT(B67/10))</f>
        <v/>
      </c>
      <c r="G67" s="182">
        <f>IF(B67="","",MOD(B67,1000))</f>
        <v/>
      </c>
      <c r="H67" s="167" t="n"/>
      <c r="I67" s="167" t="n"/>
      <c r="J67" s="167" t="n"/>
      <c r="K67" s="167" t="n"/>
      <c r="L67" s="180" t="n"/>
      <c r="M67" s="167" t="n"/>
      <c r="N67" s="180" t="n"/>
      <c r="O67" s="167" t="n"/>
      <c r="P67" s="169" t="n"/>
    </row>
    <row r="68" ht="20" customHeight="1">
      <c r="A68" s="157" t="n">
        <v>63</v>
      </c>
      <c r="B68" s="171" t="n"/>
      <c r="C68" s="159">
        <f>IF(B68="","",IF(MOD(INT(B68/1000)+INT(MOD(B68,1000)/100)+INT(MOD(B68,100)/10)+MOD(B68,10),9)=0,9,MOD(INT(B68/1000)+INT(MOD(B68,1000)/100)+INT(MOD(B68,100)/10)+MOD(B68,10),9)))</f>
        <v/>
      </c>
      <c r="D68" s="161">
        <f>IF(B68="","",INT(B68/1000)+INT(MOD(B68,1000)/100)+INT(MOD(B68,100)/10)+MOD(B68,10))</f>
        <v/>
      </c>
      <c r="E68" s="172">
        <f>IF(B68="","",LET(d1,INT(B68/1000),d2,INT(MOD(B68,1000)/100),d3,INT(MOD(B68,100)/10),d4,MOD(B68,10),p,(d1=d2)+(d1=d3)+(d1=d4)+(d2=d3)+(d2=d4)+(d3=d4),IF(p=6,"1打(豹子)",IF(p=3,"4打",IF(p=2,"6打",IF(p=1,"12打","24打"))))))</f>
        <v/>
      </c>
      <c r="F68" s="177">
        <f>IF(B68="","",INT(B68/10))</f>
        <v/>
      </c>
      <c r="G68" s="181">
        <f>IF(B68="","",MOD(B68,1000))</f>
        <v/>
      </c>
      <c r="H68" s="161" t="n"/>
      <c r="I68" s="161" t="n"/>
      <c r="J68" s="161" t="n"/>
      <c r="K68" s="161" t="n"/>
      <c r="L68" s="178" t="n"/>
      <c r="M68" s="161" t="n"/>
      <c r="N68" s="178" t="n"/>
      <c r="O68" s="161" t="n"/>
      <c r="P68" s="163" t="n"/>
    </row>
    <row r="69" ht="20" customHeight="1">
      <c r="A69" s="157" t="n">
        <v>64</v>
      </c>
      <c r="B69" s="174" t="n"/>
      <c r="C69" s="165">
        <f>IF(B69="","",IF(MOD(INT(B69/1000)+INT(MOD(B69,1000)/100)+INT(MOD(B69,100)/10)+MOD(B69,10),9)=0,9,MOD(INT(B69/1000)+INT(MOD(B69,1000)/100)+INT(MOD(B69,100)/10)+MOD(B69,10),9)))</f>
        <v/>
      </c>
      <c r="D69" s="167">
        <f>IF(B69="","",INT(B69/1000)+INT(MOD(B69,1000)/100)+INT(MOD(B69,100)/10)+MOD(B69,10))</f>
        <v/>
      </c>
      <c r="E69" s="175">
        <f>IF(B69="","",LET(d1,INT(B69/1000),d2,INT(MOD(B69,1000)/100),d3,INT(MOD(B69,100)/10),d4,MOD(B69,10),p,(d1=d2)+(d1=d3)+(d1=d4)+(d2=d3)+(d2=d4)+(d3=d4),IF(p=6,"1打(豹子)",IF(p=3,"4打",IF(p=2,"6打",IF(p=1,"12打","24打"))))))</f>
        <v/>
      </c>
      <c r="F69" s="179">
        <f>IF(B69="","",INT(B69/10))</f>
        <v/>
      </c>
      <c r="G69" s="182">
        <f>IF(B69="","",MOD(B69,1000))</f>
        <v/>
      </c>
      <c r="H69" s="167" t="n"/>
      <c r="I69" s="167" t="n"/>
      <c r="J69" s="167" t="n"/>
      <c r="K69" s="167" t="n"/>
      <c r="L69" s="180" t="n"/>
      <c r="M69" s="167" t="n"/>
      <c r="N69" s="180" t="n"/>
      <c r="O69" s="167" t="n"/>
      <c r="P69" s="169" t="n"/>
    </row>
    <row r="70" ht="20" customHeight="1">
      <c r="A70" s="157" t="n">
        <v>65</v>
      </c>
      <c r="B70" s="171" t="n"/>
      <c r="C70" s="159">
        <f>IF(B70="","",IF(MOD(INT(B70/1000)+INT(MOD(B70,1000)/100)+INT(MOD(B70,100)/10)+MOD(B70,10),9)=0,9,MOD(INT(B70/1000)+INT(MOD(B70,1000)/100)+INT(MOD(B70,100)/10)+MOD(B70,10),9)))</f>
        <v/>
      </c>
      <c r="D70" s="161">
        <f>IF(B70="","",INT(B70/1000)+INT(MOD(B70,1000)/100)+INT(MOD(B70,100)/10)+MOD(B70,10))</f>
        <v/>
      </c>
      <c r="E70" s="172">
        <f>IF(B70="","",LET(d1,INT(B70/1000),d2,INT(MOD(B70,1000)/100),d3,INT(MOD(B70,100)/10),d4,MOD(B70,10),p,(d1=d2)+(d1=d3)+(d1=d4)+(d2=d3)+(d2=d4)+(d3=d4),IF(p=6,"1打(豹子)",IF(p=3,"4打",IF(p=2,"6打",IF(p=1,"12打","24打"))))))</f>
        <v/>
      </c>
      <c r="F70" s="177">
        <f>IF(B70="","",INT(B70/10))</f>
        <v/>
      </c>
      <c r="G70" s="181">
        <f>IF(B70="","",MOD(B70,1000))</f>
        <v/>
      </c>
      <c r="H70" s="161" t="n"/>
      <c r="I70" s="161" t="n"/>
      <c r="J70" s="161" t="n"/>
      <c r="K70" s="161" t="n"/>
      <c r="L70" s="178" t="n"/>
      <c r="M70" s="161" t="n"/>
      <c r="N70" s="178" t="n"/>
      <c r="O70" s="161" t="n"/>
      <c r="P70" s="163" t="n"/>
    </row>
    <row r="71" ht="20" customHeight="1">
      <c r="A71" s="157" t="n">
        <v>66</v>
      </c>
      <c r="B71" s="174" t="n"/>
      <c r="C71" s="165">
        <f>IF(B71="","",IF(MOD(INT(B71/1000)+INT(MOD(B71,1000)/100)+INT(MOD(B71,100)/10)+MOD(B71,10),9)=0,9,MOD(INT(B71/1000)+INT(MOD(B71,1000)/100)+INT(MOD(B71,100)/10)+MOD(B71,10),9)))</f>
        <v/>
      </c>
      <c r="D71" s="167">
        <f>IF(B71="","",INT(B71/1000)+INT(MOD(B71,1000)/100)+INT(MOD(B71,100)/10)+MOD(B71,10))</f>
        <v/>
      </c>
      <c r="E71" s="175">
        <f>IF(B71="","",LET(d1,INT(B71/1000),d2,INT(MOD(B71,1000)/100),d3,INT(MOD(B71,100)/10),d4,MOD(B71,10),p,(d1=d2)+(d1=d3)+(d1=d4)+(d2=d3)+(d2=d4)+(d3=d4),IF(p=6,"1打(豹子)",IF(p=3,"4打",IF(p=2,"6打",IF(p=1,"12打","24打"))))))</f>
        <v/>
      </c>
      <c r="F71" s="179">
        <f>IF(B71="","",INT(B71/10))</f>
        <v/>
      </c>
      <c r="G71" s="182">
        <f>IF(B71="","",MOD(B71,1000))</f>
        <v/>
      </c>
      <c r="H71" s="167" t="n"/>
      <c r="I71" s="167" t="n"/>
      <c r="J71" s="167" t="n"/>
      <c r="K71" s="167" t="n"/>
      <c r="L71" s="180" t="n"/>
      <c r="M71" s="167" t="n"/>
      <c r="N71" s="180" t="n"/>
      <c r="O71" s="167" t="n"/>
      <c r="P71" s="169" t="n"/>
    </row>
    <row r="72" ht="20" customHeight="1">
      <c r="A72" s="157" t="n">
        <v>67</v>
      </c>
      <c r="B72" s="171" t="n"/>
      <c r="C72" s="159">
        <f>IF(B72="","",IF(MOD(INT(B72/1000)+INT(MOD(B72,1000)/100)+INT(MOD(B72,100)/10)+MOD(B72,10),9)=0,9,MOD(INT(B72/1000)+INT(MOD(B72,1000)/100)+INT(MOD(B72,100)/10)+MOD(B72,10),9)))</f>
        <v/>
      </c>
      <c r="D72" s="161">
        <f>IF(B72="","",INT(B72/1000)+INT(MOD(B72,1000)/100)+INT(MOD(B72,100)/10)+MOD(B72,10))</f>
        <v/>
      </c>
      <c r="E72" s="172">
        <f>IF(B72="","",LET(d1,INT(B72/1000),d2,INT(MOD(B72,1000)/100),d3,INT(MOD(B72,100)/10),d4,MOD(B72,10),p,(d1=d2)+(d1=d3)+(d1=d4)+(d2=d3)+(d2=d4)+(d3=d4),IF(p=6,"1打(豹子)",IF(p=3,"4打",IF(p=2,"6打",IF(p=1,"12打","24打"))))))</f>
        <v/>
      </c>
      <c r="F72" s="177">
        <f>IF(B72="","",INT(B72/10))</f>
        <v/>
      </c>
      <c r="G72" s="181">
        <f>IF(B72="","",MOD(B72,1000))</f>
        <v/>
      </c>
      <c r="H72" s="161" t="n"/>
      <c r="I72" s="161" t="n"/>
      <c r="J72" s="161" t="n"/>
      <c r="K72" s="161" t="n"/>
      <c r="L72" s="178" t="n"/>
      <c r="M72" s="161" t="n"/>
      <c r="N72" s="178" t="n"/>
      <c r="O72" s="161" t="n"/>
      <c r="P72" s="163" t="n"/>
    </row>
    <row r="73" ht="20" customHeight="1">
      <c r="A73" s="157" t="n">
        <v>68</v>
      </c>
      <c r="B73" s="174" t="n"/>
      <c r="C73" s="165">
        <f>IF(B73="","",IF(MOD(INT(B73/1000)+INT(MOD(B73,1000)/100)+INT(MOD(B73,100)/10)+MOD(B73,10),9)=0,9,MOD(INT(B73/1000)+INT(MOD(B73,1000)/100)+INT(MOD(B73,100)/10)+MOD(B73,10),9)))</f>
        <v/>
      </c>
      <c r="D73" s="167">
        <f>IF(B73="","",INT(B73/1000)+INT(MOD(B73,1000)/100)+INT(MOD(B73,100)/10)+MOD(B73,10))</f>
        <v/>
      </c>
      <c r="E73" s="175">
        <f>IF(B73="","",LET(d1,INT(B73/1000),d2,INT(MOD(B73,1000)/100),d3,INT(MOD(B73,100)/10),d4,MOD(B73,10),p,(d1=d2)+(d1=d3)+(d1=d4)+(d2=d3)+(d2=d4)+(d3=d4),IF(p=6,"1打(豹子)",IF(p=3,"4打",IF(p=2,"6打",IF(p=1,"12打","24打"))))))</f>
        <v/>
      </c>
      <c r="F73" s="179">
        <f>IF(B73="","",INT(B73/10))</f>
        <v/>
      </c>
      <c r="G73" s="182">
        <f>IF(B73="","",MOD(B73,1000))</f>
        <v/>
      </c>
      <c r="H73" s="167" t="n"/>
      <c r="I73" s="167" t="n"/>
      <c r="J73" s="167" t="n"/>
      <c r="K73" s="167" t="n"/>
      <c r="L73" s="180" t="n"/>
      <c r="M73" s="167" t="n"/>
      <c r="N73" s="180" t="n"/>
      <c r="O73" s="167" t="n"/>
      <c r="P73" s="169" t="n"/>
    </row>
    <row r="74" ht="20" customHeight="1">
      <c r="A74" s="157" t="n">
        <v>69</v>
      </c>
      <c r="B74" s="171" t="n"/>
      <c r="C74" s="159">
        <f>IF(B74="","",IF(MOD(INT(B74/1000)+INT(MOD(B74,1000)/100)+INT(MOD(B74,100)/10)+MOD(B74,10),9)=0,9,MOD(INT(B74/1000)+INT(MOD(B74,1000)/100)+INT(MOD(B74,100)/10)+MOD(B74,10),9)))</f>
        <v/>
      </c>
      <c r="D74" s="161">
        <f>IF(B74="","",INT(B74/1000)+INT(MOD(B74,1000)/100)+INT(MOD(B74,100)/10)+MOD(B74,10))</f>
        <v/>
      </c>
      <c r="E74" s="172">
        <f>IF(B74="","",LET(d1,INT(B74/1000),d2,INT(MOD(B74,1000)/100),d3,INT(MOD(B74,100)/10),d4,MOD(B74,10),p,(d1=d2)+(d1=d3)+(d1=d4)+(d2=d3)+(d2=d4)+(d3=d4),IF(p=6,"1打(豹子)",IF(p=3,"4打",IF(p=2,"6打",IF(p=1,"12打","24打"))))))</f>
        <v/>
      </c>
      <c r="F74" s="177">
        <f>IF(B74="","",INT(B74/10))</f>
        <v/>
      </c>
      <c r="G74" s="181">
        <f>IF(B74="","",MOD(B74,1000))</f>
        <v/>
      </c>
      <c r="H74" s="161" t="n"/>
      <c r="I74" s="161" t="n"/>
      <c r="J74" s="161" t="n"/>
      <c r="K74" s="161" t="n"/>
      <c r="L74" s="178" t="n"/>
      <c r="M74" s="161" t="n"/>
      <c r="N74" s="178" t="n"/>
      <c r="O74" s="161" t="n"/>
      <c r="P74" s="163" t="n"/>
    </row>
    <row r="75" ht="20" customHeight="1">
      <c r="A75" s="157" t="n">
        <v>70</v>
      </c>
      <c r="B75" s="174" t="n"/>
      <c r="C75" s="165">
        <f>IF(B75="","",IF(MOD(INT(B75/1000)+INT(MOD(B75,1000)/100)+INT(MOD(B75,100)/10)+MOD(B75,10),9)=0,9,MOD(INT(B75/1000)+INT(MOD(B75,1000)/100)+INT(MOD(B75,100)/10)+MOD(B75,10),9)))</f>
        <v/>
      </c>
      <c r="D75" s="167">
        <f>IF(B75="","",INT(B75/1000)+INT(MOD(B75,1000)/100)+INT(MOD(B75,100)/10)+MOD(B75,10))</f>
        <v/>
      </c>
      <c r="E75" s="175">
        <f>IF(B75="","",LET(d1,INT(B75/1000),d2,INT(MOD(B75,1000)/100),d3,INT(MOD(B75,100)/10),d4,MOD(B75,10),p,(d1=d2)+(d1=d3)+(d1=d4)+(d2=d3)+(d2=d4)+(d3=d4),IF(p=6,"1打(豹子)",IF(p=3,"4打",IF(p=2,"6打",IF(p=1,"12打","24打"))))))</f>
        <v/>
      </c>
      <c r="F75" s="179">
        <f>IF(B75="","",INT(B75/10))</f>
        <v/>
      </c>
      <c r="G75" s="182">
        <f>IF(B75="","",MOD(B75,1000))</f>
        <v/>
      </c>
      <c r="H75" s="167" t="n"/>
      <c r="I75" s="167" t="n"/>
      <c r="J75" s="167" t="n"/>
      <c r="K75" s="167" t="n"/>
      <c r="L75" s="180" t="n"/>
      <c r="M75" s="167" t="n"/>
      <c r="N75" s="180" t="n"/>
      <c r="O75" s="167" t="n"/>
      <c r="P75" s="169" t="n"/>
    </row>
    <row r="76" ht="20" customHeight="1">
      <c r="A76" s="157" t="n">
        <v>71</v>
      </c>
      <c r="B76" s="171" t="n"/>
      <c r="C76" s="159">
        <f>IF(B76="","",IF(MOD(INT(B76/1000)+INT(MOD(B76,1000)/100)+INT(MOD(B76,100)/10)+MOD(B76,10),9)=0,9,MOD(INT(B76/1000)+INT(MOD(B76,1000)/100)+INT(MOD(B76,100)/10)+MOD(B76,10),9)))</f>
        <v/>
      </c>
      <c r="D76" s="161">
        <f>IF(B76="","",INT(B76/1000)+INT(MOD(B76,1000)/100)+INT(MOD(B76,100)/10)+MOD(B76,10))</f>
        <v/>
      </c>
      <c r="E76" s="172">
        <f>IF(B76="","",LET(d1,INT(B76/1000),d2,INT(MOD(B76,1000)/100),d3,INT(MOD(B76,100)/10),d4,MOD(B76,10),p,(d1=d2)+(d1=d3)+(d1=d4)+(d2=d3)+(d2=d4)+(d3=d4),IF(p=6,"1打(豹子)",IF(p=3,"4打",IF(p=2,"6打",IF(p=1,"12打","24打"))))))</f>
        <v/>
      </c>
      <c r="F76" s="177">
        <f>IF(B76="","",INT(B76/10))</f>
        <v/>
      </c>
      <c r="G76" s="181">
        <f>IF(B76="","",MOD(B76,1000))</f>
        <v/>
      </c>
      <c r="H76" s="161" t="n"/>
      <c r="I76" s="161" t="n"/>
      <c r="J76" s="161" t="n"/>
      <c r="K76" s="161" t="n"/>
      <c r="L76" s="178" t="n"/>
      <c r="M76" s="161" t="n"/>
      <c r="N76" s="178" t="n"/>
      <c r="O76" s="161" t="n"/>
      <c r="P76" s="163" t="n"/>
    </row>
    <row r="77" ht="20" customHeight="1">
      <c r="A77" s="157" t="n">
        <v>72</v>
      </c>
      <c r="B77" s="174" t="n"/>
      <c r="C77" s="165">
        <f>IF(B77="","",IF(MOD(INT(B77/1000)+INT(MOD(B77,1000)/100)+INT(MOD(B77,100)/10)+MOD(B77,10),9)=0,9,MOD(INT(B77/1000)+INT(MOD(B77,1000)/100)+INT(MOD(B77,100)/10)+MOD(B77,10),9)))</f>
        <v/>
      </c>
      <c r="D77" s="167">
        <f>IF(B77="","",INT(B77/1000)+INT(MOD(B77,1000)/100)+INT(MOD(B77,100)/10)+MOD(B77,10))</f>
        <v/>
      </c>
      <c r="E77" s="175">
        <f>IF(B77="","",LET(d1,INT(B77/1000),d2,INT(MOD(B77,1000)/100),d3,INT(MOD(B77,100)/10),d4,MOD(B77,10),p,(d1=d2)+(d1=d3)+(d1=d4)+(d2=d3)+(d2=d4)+(d3=d4),IF(p=6,"1打(豹子)",IF(p=3,"4打",IF(p=2,"6打",IF(p=1,"12打","24打"))))))</f>
        <v/>
      </c>
      <c r="F77" s="179">
        <f>IF(B77="","",INT(B77/10))</f>
        <v/>
      </c>
      <c r="G77" s="182">
        <f>IF(B77="","",MOD(B77,1000))</f>
        <v/>
      </c>
      <c r="H77" s="167" t="n"/>
      <c r="I77" s="167" t="n"/>
      <c r="J77" s="167" t="n"/>
      <c r="K77" s="167" t="n"/>
      <c r="L77" s="180" t="n"/>
      <c r="M77" s="167" t="n"/>
      <c r="N77" s="180" t="n"/>
      <c r="O77" s="167" t="n"/>
      <c r="P77" s="169" t="n"/>
    </row>
    <row r="78" ht="20" customHeight="1">
      <c r="A78" s="157" t="n">
        <v>73</v>
      </c>
      <c r="B78" s="171" t="n"/>
      <c r="C78" s="159">
        <f>IF(B78="","",IF(MOD(INT(B78/1000)+INT(MOD(B78,1000)/100)+INT(MOD(B78,100)/10)+MOD(B78,10),9)=0,9,MOD(INT(B78/1000)+INT(MOD(B78,1000)/100)+INT(MOD(B78,100)/10)+MOD(B78,10),9)))</f>
        <v/>
      </c>
      <c r="D78" s="161">
        <f>IF(B78="","",INT(B78/1000)+INT(MOD(B78,1000)/100)+INT(MOD(B78,100)/10)+MOD(B78,10))</f>
        <v/>
      </c>
      <c r="E78" s="172">
        <f>IF(B78="","",LET(d1,INT(B78/1000),d2,INT(MOD(B78,1000)/100),d3,INT(MOD(B78,100)/10),d4,MOD(B78,10),p,(d1=d2)+(d1=d3)+(d1=d4)+(d2=d3)+(d2=d4)+(d3=d4),IF(p=6,"1打(豹子)",IF(p=3,"4打",IF(p=2,"6打",IF(p=1,"12打","24打"))))))</f>
        <v/>
      </c>
      <c r="F78" s="177">
        <f>IF(B78="","",INT(B78/10))</f>
        <v/>
      </c>
      <c r="G78" s="181">
        <f>IF(B78="","",MOD(B78,1000))</f>
        <v/>
      </c>
      <c r="H78" s="161" t="n"/>
      <c r="I78" s="161" t="n"/>
      <c r="J78" s="161" t="n"/>
      <c r="K78" s="161" t="n"/>
      <c r="L78" s="178" t="n"/>
      <c r="M78" s="161" t="n"/>
      <c r="N78" s="178" t="n"/>
      <c r="O78" s="161" t="n"/>
      <c r="P78" s="163" t="n"/>
    </row>
    <row r="79" ht="20" customHeight="1">
      <c r="A79" s="157" t="n">
        <v>74</v>
      </c>
      <c r="B79" s="174" t="n"/>
      <c r="C79" s="165">
        <f>IF(B79="","",IF(MOD(INT(B79/1000)+INT(MOD(B79,1000)/100)+INT(MOD(B79,100)/10)+MOD(B79,10),9)=0,9,MOD(INT(B79/1000)+INT(MOD(B79,1000)/100)+INT(MOD(B79,100)/10)+MOD(B79,10),9)))</f>
        <v/>
      </c>
      <c r="D79" s="167">
        <f>IF(B79="","",INT(B79/1000)+INT(MOD(B79,1000)/100)+INT(MOD(B79,100)/10)+MOD(B79,10))</f>
        <v/>
      </c>
      <c r="E79" s="175">
        <f>IF(B79="","",LET(d1,INT(B79/1000),d2,INT(MOD(B79,1000)/100),d3,INT(MOD(B79,100)/10),d4,MOD(B79,10),p,(d1=d2)+(d1=d3)+(d1=d4)+(d2=d3)+(d2=d4)+(d3=d4),IF(p=6,"1打(豹子)",IF(p=3,"4打",IF(p=2,"6打",IF(p=1,"12打","24打"))))))</f>
        <v/>
      </c>
      <c r="F79" s="179">
        <f>IF(B79="","",INT(B79/10))</f>
        <v/>
      </c>
      <c r="G79" s="182">
        <f>IF(B79="","",MOD(B79,1000))</f>
        <v/>
      </c>
      <c r="H79" s="167" t="n"/>
      <c r="I79" s="167" t="n"/>
      <c r="J79" s="167" t="n"/>
      <c r="K79" s="167" t="n"/>
      <c r="L79" s="180" t="n"/>
      <c r="M79" s="167" t="n"/>
      <c r="N79" s="180" t="n"/>
      <c r="O79" s="167" t="n"/>
      <c r="P79" s="169" t="n"/>
    </row>
    <row r="80" ht="20" customHeight="1">
      <c r="A80" s="157" t="n">
        <v>75</v>
      </c>
      <c r="B80" s="171" t="n"/>
      <c r="C80" s="159">
        <f>IF(B80="","",IF(MOD(INT(B80/1000)+INT(MOD(B80,1000)/100)+INT(MOD(B80,100)/10)+MOD(B80,10),9)=0,9,MOD(INT(B80/1000)+INT(MOD(B80,1000)/100)+INT(MOD(B80,100)/10)+MOD(B80,10),9)))</f>
        <v/>
      </c>
      <c r="D80" s="161">
        <f>IF(B80="","",INT(B80/1000)+INT(MOD(B80,1000)/100)+INT(MOD(B80,100)/10)+MOD(B80,10))</f>
        <v/>
      </c>
      <c r="E80" s="172">
        <f>IF(B80="","",LET(d1,INT(B80/1000),d2,INT(MOD(B80,1000)/100),d3,INT(MOD(B80,100)/10),d4,MOD(B80,10),p,(d1=d2)+(d1=d3)+(d1=d4)+(d2=d3)+(d2=d4)+(d3=d4),IF(p=6,"1打(豹子)",IF(p=3,"4打",IF(p=2,"6打",IF(p=1,"12打","24打"))))))</f>
        <v/>
      </c>
      <c r="F80" s="177">
        <f>IF(B80="","",INT(B80/10))</f>
        <v/>
      </c>
      <c r="G80" s="181">
        <f>IF(B80="","",MOD(B80,1000))</f>
        <v/>
      </c>
      <c r="H80" s="161" t="n"/>
      <c r="I80" s="161" t="n"/>
      <c r="J80" s="161" t="n"/>
      <c r="K80" s="161" t="n"/>
      <c r="L80" s="178" t="n"/>
      <c r="M80" s="161" t="n"/>
      <c r="N80" s="178" t="n"/>
      <c r="O80" s="161" t="n"/>
      <c r="P80" s="163" t="n"/>
    </row>
    <row r="81" ht="20" customHeight="1">
      <c r="A81" s="157" t="n">
        <v>76</v>
      </c>
      <c r="B81" s="174" t="n"/>
      <c r="C81" s="165">
        <f>IF(B81="","",IF(MOD(INT(B81/1000)+INT(MOD(B81,1000)/100)+INT(MOD(B81,100)/10)+MOD(B81,10),9)=0,9,MOD(INT(B81/1000)+INT(MOD(B81,1000)/100)+INT(MOD(B81,100)/10)+MOD(B81,10),9)))</f>
        <v/>
      </c>
      <c r="D81" s="167">
        <f>IF(B81="","",INT(B81/1000)+INT(MOD(B81,1000)/100)+INT(MOD(B81,100)/10)+MOD(B81,10))</f>
        <v/>
      </c>
      <c r="E81" s="175">
        <f>IF(B81="","",LET(d1,INT(B81/1000),d2,INT(MOD(B81,1000)/100),d3,INT(MOD(B81,100)/10),d4,MOD(B81,10),p,(d1=d2)+(d1=d3)+(d1=d4)+(d2=d3)+(d2=d4)+(d3=d4),IF(p=6,"1打(豹子)",IF(p=3,"4打",IF(p=2,"6打",IF(p=1,"12打","24打"))))))</f>
        <v/>
      </c>
      <c r="F81" s="179">
        <f>IF(B81="","",INT(B81/10))</f>
        <v/>
      </c>
      <c r="G81" s="182">
        <f>IF(B81="","",MOD(B81,1000))</f>
        <v/>
      </c>
      <c r="H81" s="167" t="n"/>
      <c r="I81" s="167" t="n"/>
      <c r="J81" s="167" t="n"/>
      <c r="K81" s="167" t="n"/>
      <c r="L81" s="180" t="n"/>
      <c r="M81" s="167" t="n"/>
      <c r="N81" s="180" t="n"/>
      <c r="O81" s="167" t="n"/>
      <c r="P81" s="169" t="n"/>
    </row>
    <row r="82" ht="20" customHeight="1">
      <c r="A82" s="157" t="n">
        <v>77</v>
      </c>
      <c r="B82" s="171" t="n"/>
      <c r="C82" s="159">
        <f>IF(B82="","",IF(MOD(INT(B82/1000)+INT(MOD(B82,1000)/100)+INT(MOD(B82,100)/10)+MOD(B82,10),9)=0,9,MOD(INT(B82/1000)+INT(MOD(B82,1000)/100)+INT(MOD(B82,100)/10)+MOD(B82,10),9)))</f>
        <v/>
      </c>
      <c r="D82" s="161">
        <f>IF(B82="","",INT(B82/1000)+INT(MOD(B82,1000)/100)+INT(MOD(B82,100)/10)+MOD(B82,10))</f>
        <v/>
      </c>
      <c r="E82" s="172">
        <f>IF(B82="","",LET(d1,INT(B82/1000),d2,INT(MOD(B82,1000)/100),d3,INT(MOD(B82,100)/10),d4,MOD(B82,10),p,(d1=d2)+(d1=d3)+(d1=d4)+(d2=d3)+(d2=d4)+(d3=d4),IF(p=6,"1打(豹子)",IF(p=3,"4打",IF(p=2,"6打",IF(p=1,"12打","24打"))))))</f>
        <v/>
      </c>
      <c r="F82" s="177">
        <f>IF(B82="","",INT(B82/10))</f>
        <v/>
      </c>
      <c r="G82" s="181">
        <f>IF(B82="","",MOD(B82,1000))</f>
        <v/>
      </c>
      <c r="H82" s="161" t="n"/>
      <c r="I82" s="161" t="n"/>
      <c r="J82" s="161" t="n"/>
      <c r="K82" s="161" t="n"/>
      <c r="L82" s="178" t="n"/>
      <c r="M82" s="161" t="n"/>
      <c r="N82" s="178" t="n"/>
      <c r="O82" s="161" t="n"/>
      <c r="P82" s="163" t="n"/>
    </row>
    <row r="83" ht="20" customHeight="1">
      <c r="A83" s="157" t="n">
        <v>78</v>
      </c>
      <c r="B83" s="174" t="n"/>
      <c r="C83" s="165">
        <f>IF(B83="","",IF(MOD(INT(B83/1000)+INT(MOD(B83,1000)/100)+INT(MOD(B83,100)/10)+MOD(B83,10),9)=0,9,MOD(INT(B83/1000)+INT(MOD(B83,1000)/100)+INT(MOD(B83,100)/10)+MOD(B83,10),9)))</f>
        <v/>
      </c>
      <c r="D83" s="167">
        <f>IF(B83="","",INT(B83/1000)+INT(MOD(B83,1000)/100)+INT(MOD(B83,100)/10)+MOD(B83,10))</f>
        <v/>
      </c>
      <c r="E83" s="175">
        <f>IF(B83="","",LET(d1,INT(B83/1000),d2,INT(MOD(B83,1000)/100),d3,INT(MOD(B83,100)/10),d4,MOD(B83,10),p,(d1=d2)+(d1=d3)+(d1=d4)+(d2=d3)+(d2=d4)+(d3=d4),IF(p=6,"1打(豹子)",IF(p=3,"4打",IF(p=2,"6打",IF(p=1,"12打","24打"))))))</f>
        <v/>
      </c>
      <c r="F83" s="179">
        <f>IF(B83="","",INT(B83/10))</f>
        <v/>
      </c>
      <c r="G83" s="182">
        <f>IF(B83="","",MOD(B83,1000))</f>
        <v/>
      </c>
      <c r="H83" s="167" t="n"/>
      <c r="I83" s="167" t="n"/>
      <c r="J83" s="167" t="n"/>
      <c r="K83" s="167" t="n"/>
      <c r="L83" s="180" t="n"/>
      <c r="M83" s="167" t="n"/>
      <c r="N83" s="180" t="n"/>
      <c r="O83" s="167" t="n"/>
      <c r="P83" s="169" t="n"/>
    </row>
    <row r="84" ht="20" customHeight="1">
      <c r="A84" s="157" t="n">
        <v>79</v>
      </c>
      <c r="B84" s="171" t="n"/>
      <c r="C84" s="159">
        <f>IF(B84="","",IF(MOD(INT(B84/1000)+INT(MOD(B84,1000)/100)+INT(MOD(B84,100)/10)+MOD(B84,10),9)=0,9,MOD(INT(B84/1000)+INT(MOD(B84,1000)/100)+INT(MOD(B84,100)/10)+MOD(B84,10),9)))</f>
        <v/>
      </c>
      <c r="D84" s="161">
        <f>IF(B84="","",INT(B84/1000)+INT(MOD(B84,1000)/100)+INT(MOD(B84,100)/10)+MOD(B84,10))</f>
        <v/>
      </c>
      <c r="E84" s="172">
        <f>IF(B84="","",LET(d1,INT(B84/1000),d2,INT(MOD(B84,1000)/100),d3,INT(MOD(B84,100)/10),d4,MOD(B84,10),p,(d1=d2)+(d1=d3)+(d1=d4)+(d2=d3)+(d2=d4)+(d3=d4),IF(p=6,"1打(豹子)",IF(p=3,"4打",IF(p=2,"6打",IF(p=1,"12打","24打"))))))</f>
        <v/>
      </c>
      <c r="F84" s="177">
        <f>IF(B84="","",INT(B84/10))</f>
        <v/>
      </c>
      <c r="G84" s="181">
        <f>IF(B84="","",MOD(B84,1000))</f>
        <v/>
      </c>
      <c r="H84" s="161" t="n"/>
      <c r="I84" s="161" t="n"/>
      <c r="J84" s="161" t="n"/>
      <c r="K84" s="161" t="n"/>
      <c r="L84" s="178" t="n"/>
      <c r="M84" s="161" t="n"/>
      <c r="N84" s="178" t="n"/>
      <c r="O84" s="161" t="n"/>
      <c r="P84" s="163" t="n"/>
    </row>
    <row r="85" ht="20" customHeight="1">
      <c r="A85" s="157" t="n">
        <v>80</v>
      </c>
      <c r="B85" s="174" t="n"/>
      <c r="C85" s="165">
        <f>IF(B85="","",IF(MOD(INT(B85/1000)+INT(MOD(B85,1000)/100)+INT(MOD(B85,100)/10)+MOD(B85,10),9)=0,9,MOD(INT(B85/1000)+INT(MOD(B85,1000)/100)+INT(MOD(B85,100)/10)+MOD(B85,10),9)))</f>
        <v/>
      </c>
      <c r="D85" s="167">
        <f>IF(B85="","",INT(B85/1000)+INT(MOD(B85,1000)/100)+INT(MOD(B85,100)/10)+MOD(B85,10))</f>
        <v/>
      </c>
      <c r="E85" s="175">
        <f>IF(B85="","",LET(d1,INT(B85/1000),d2,INT(MOD(B85,1000)/100),d3,INT(MOD(B85,100)/10),d4,MOD(B85,10),p,(d1=d2)+(d1=d3)+(d1=d4)+(d2=d3)+(d2=d4)+(d3=d4),IF(p=6,"1打(豹子)",IF(p=3,"4打",IF(p=2,"6打",IF(p=1,"12打","24打"))))))</f>
        <v/>
      </c>
      <c r="F85" s="179">
        <f>IF(B85="","",INT(B85/10))</f>
        <v/>
      </c>
      <c r="G85" s="182">
        <f>IF(B85="","",MOD(B85,1000))</f>
        <v/>
      </c>
      <c r="H85" s="167" t="n"/>
      <c r="I85" s="167" t="n"/>
      <c r="J85" s="167" t="n"/>
      <c r="K85" s="167" t="n"/>
      <c r="L85" s="180" t="n"/>
      <c r="M85" s="167" t="n"/>
      <c r="N85" s="180" t="n"/>
      <c r="O85" s="167" t="n"/>
      <c r="P85" s="169" t="n"/>
    </row>
    <row r="86" ht="20" customHeight="1">
      <c r="A86" s="157" t="n">
        <v>81</v>
      </c>
      <c r="B86" s="171" t="n"/>
      <c r="C86" s="159">
        <f>IF(B86="","",IF(MOD(INT(B86/1000)+INT(MOD(B86,1000)/100)+INT(MOD(B86,100)/10)+MOD(B86,10),9)=0,9,MOD(INT(B86/1000)+INT(MOD(B86,1000)/100)+INT(MOD(B86,100)/10)+MOD(B86,10),9)))</f>
        <v/>
      </c>
      <c r="D86" s="161">
        <f>IF(B86="","",INT(B86/1000)+INT(MOD(B86,1000)/100)+INT(MOD(B86,100)/10)+MOD(B86,10))</f>
        <v/>
      </c>
      <c r="E86" s="172">
        <f>IF(B86="","",LET(d1,INT(B86/1000),d2,INT(MOD(B86,1000)/100),d3,INT(MOD(B86,100)/10),d4,MOD(B86,10),p,(d1=d2)+(d1=d3)+(d1=d4)+(d2=d3)+(d2=d4)+(d3=d4),IF(p=6,"1打(豹子)",IF(p=3,"4打",IF(p=2,"6打",IF(p=1,"12打","24打"))))))</f>
        <v/>
      </c>
      <c r="F86" s="177">
        <f>IF(B86="","",INT(B86/10))</f>
        <v/>
      </c>
      <c r="G86" s="181">
        <f>IF(B86="","",MOD(B86,1000))</f>
        <v/>
      </c>
      <c r="H86" s="161" t="n"/>
      <c r="I86" s="161" t="n"/>
      <c r="J86" s="161" t="n"/>
      <c r="K86" s="161" t="n"/>
      <c r="L86" s="178" t="n"/>
      <c r="M86" s="161" t="n"/>
      <c r="N86" s="178" t="n"/>
      <c r="O86" s="161" t="n"/>
      <c r="P86" s="163" t="n"/>
    </row>
    <row r="87" ht="20" customHeight="1">
      <c r="A87" s="157" t="n">
        <v>82</v>
      </c>
      <c r="B87" s="174" t="n"/>
      <c r="C87" s="165">
        <f>IF(B87="","",IF(MOD(INT(B87/1000)+INT(MOD(B87,1000)/100)+INT(MOD(B87,100)/10)+MOD(B87,10),9)=0,9,MOD(INT(B87/1000)+INT(MOD(B87,1000)/100)+INT(MOD(B87,100)/10)+MOD(B87,10),9)))</f>
        <v/>
      </c>
      <c r="D87" s="167">
        <f>IF(B87="","",INT(B87/1000)+INT(MOD(B87,1000)/100)+INT(MOD(B87,100)/10)+MOD(B87,10))</f>
        <v/>
      </c>
      <c r="E87" s="175">
        <f>IF(B87="","",LET(d1,INT(B87/1000),d2,INT(MOD(B87,1000)/100),d3,INT(MOD(B87,100)/10),d4,MOD(B87,10),p,(d1=d2)+(d1=d3)+(d1=d4)+(d2=d3)+(d2=d4)+(d3=d4),IF(p=6,"1打(豹子)",IF(p=3,"4打",IF(p=2,"6打",IF(p=1,"12打","24打"))))))</f>
        <v/>
      </c>
      <c r="F87" s="179">
        <f>IF(B87="","",INT(B87/10))</f>
        <v/>
      </c>
      <c r="G87" s="182">
        <f>IF(B87="","",MOD(B87,1000))</f>
        <v/>
      </c>
      <c r="H87" s="167" t="n"/>
      <c r="I87" s="167" t="n"/>
      <c r="J87" s="167" t="n"/>
      <c r="K87" s="167" t="n"/>
      <c r="L87" s="180" t="n"/>
      <c r="M87" s="167" t="n"/>
      <c r="N87" s="180" t="n"/>
      <c r="O87" s="167" t="n"/>
      <c r="P87" s="169" t="n"/>
    </row>
    <row r="88" ht="20" customHeight="1">
      <c r="A88" s="157" t="n">
        <v>83</v>
      </c>
      <c r="B88" s="171" t="n"/>
      <c r="C88" s="159">
        <f>IF(B88="","",IF(MOD(INT(B88/1000)+INT(MOD(B88,1000)/100)+INT(MOD(B88,100)/10)+MOD(B88,10),9)=0,9,MOD(INT(B88/1000)+INT(MOD(B88,1000)/100)+INT(MOD(B88,100)/10)+MOD(B88,10),9)))</f>
        <v/>
      </c>
      <c r="D88" s="161">
        <f>IF(B88="","",INT(B88/1000)+INT(MOD(B88,1000)/100)+INT(MOD(B88,100)/10)+MOD(B88,10))</f>
        <v/>
      </c>
      <c r="E88" s="172">
        <f>IF(B88="","",LET(d1,INT(B88/1000),d2,INT(MOD(B88,1000)/100),d3,INT(MOD(B88,100)/10),d4,MOD(B88,10),p,(d1=d2)+(d1=d3)+(d1=d4)+(d2=d3)+(d2=d4)+(d3=d4),IF(p=6,"1打(豹子)",IF(p=3,"4打",IF(p=2,"6打",IF(p=1,"12打","24打"))))))</f>
        <v/>
      </c>
      <c r="F88" s="177">
        <f>IF(B88="","",INT(B88/10))</f>
        <v/>
      </c>
      <c r="G88" s="181">
        <f>IF(B88="","",MOD(B88,1000))</f>
        <v/>
      </c>
      <c r="H88" s="161" t="n"/>
      <c r="I88" s="161" t="n"/>
      <c r="J88" s="161" t="n"/>
      <c r="K88" s="161" t="n"/>
      <c r="L88" s="178" t="n"/>
      <c r="M88" s="161" t="n"/>
      <c r="N88" s="178" t="n"/>
      <c r="O88" s="161" t="n"/>
      <c r="P88" s="163" t="n"/>
    </row>
    <row r="89" ht="20" customHeight="1">
      <c r="A89" s="157" t="n">
        <v>84</v>
      </c>
      <c r="B89" s="174" t="n"/>
      <c r="C89" s="165">
        <f>IF(B89="","",IF(MOD(INT(B89/1000)+INT(MOD(B89,1000)/100)+INT(MOD(B89,100)/10)+MOD(B89,10),9)=0,9,MOD(INT(B89/1000)+INT(MOD(B89,1000)/100)+INT(MOD(B89,100)/10)+MOD(B89,10),9)))</f>
        <v/>
      </c>
      <c r="D89" s="167">
        <f>IF(B89="","",INT(B89/1000)+INT(MOD(B89,1000)/100)+INT(MOD(B89,100)/10)+MOD(B89,10))</f>
        <v/>
      </c>
      <c r="E89" s="175">
        <f>IF(B89="","",LET(d1,INT(B89/1000),d2,INT(MOD(B89,1000)/100),d3,INT(MOD(B89,100)/10),d4,MOD(B89,10),p,(d1=d2)+(d1=d3)+(d1=d4)+(d2=d3)+(d2=d4)+(d3=d4),IF(p=6,"1打(豹子)",IF(p=3,"4打",IF(p=2,"6打",IF(p=1,"12打","24打"))))))</f>
        <v/>
      </c>
      <c r="F89" s="179">
        <f>IF(B89="","",INT(B89/10))</f>
        <v/>
      </c>
      <c r="G89" s="182">
        <f>IF(B89="","",MOD(B89,1000))</f>
        <v/>
      </c>
      <c r="H89" s="167" t="n"/>
      <c r="I89" s="167" t="n"/>
      <c r="J89" s="167" t="n"/>
      <c r="K89" s="167" t="n"/>
      <c r="L89" s="180" t="n"/>
      <c r="M89" s="167" t="n"/>
      <c r="N89" s="180" t="n"/>
      <c r="O89" s="167" t="n"/>
      <c r="P89" s="169" t="n"/>
    </row>
    <row r="90" ht="20" customHeight="1">
      <c r="A90" s="157" t="n">
        <v>85</v>
      </c>
      <c r="B90" s="171" t="n"/>
      <c r="C90" s="159">
        <f>IF(B90="","",IF(MOD(INT(B90/1000)+INT(MOD(B90,1000)/100)+INT(MOD(B90,100)/10)+MOD(B90,10),9)=0,9,MOD(INT(B90/1000)+INT(MOD(B90,1000)/100)+INT(MOD(B90,100)/10)+MOD(B90,10),9)))</f>
        <v/>
      </c>
      <c r="D90" s="161">
        <f>IF(B90="","",INT(B90/1000)+INT(MOD(B90,1000)/100)+INT(MOD(B90,100)/10)+MOD(B90,10))</f>
        <v/>
      </c>
      <c r="E90" s="172">
        <f>IF(B90="","",LET(d1,INT(B90/1000),d2,INT(MOD(B90,1000)/100),d3,INT(MOD(B90,100)/10),d4,MOD(B90,10),p,(d1=d2)+(d1=d3)+(d1=d4)+(d2=d3)+(d2=d4)+(d3=d4),IF(p=6,"1打(豹子)",IF(p=3,"4打",IF(p=2,"6打",IF(p=1,"12打","24打"))))))</f>
        <v/>
      </c>
      <c r="F90" s="177">
        <f>IF(B90="","",INT(B90/10))</f>
        <v/>
      </c>
      <c r="G90" s="181">
        <f>IF(B90="","",MOD(B90,1000))</f>
        <v/>
      </c>
      <c r="H90" s="161" t="n"/>
      <c r="I90" s="161" t="n"/>
      <c r="J90" s="161" t="n"/>
      <c r="K90" s="161" t="n"/>
      <c r="L90" s="178" t="n"/>
      <c r="M90" s="161" t="n"/>
      <c r="N90" s="178" t="n"/>
      <c r="O90" s="161" t="n"/>
      <c r="P90" s="163" t="n"/>
    </row>
    <row r="91" ht="20" customHeight="1">
      <c r="A91" s="157" t="n">
        <v>86</v>
      </c>
      <c r="B91" s="174" t="n"/>
      <c r="C91" s="165">
        <f>IF(B91="","",IF(MOD(INT(B91/1000)+INT(MOD(B91,1000)/100)+INT(MOD(B91,100)/10)+MOD(B91,10),9)=0,9,MOD(INT(B91/1000)+INT(MOD(B91,1000)/100)+INT(MOD(B91,100)/10)+MOD(B91,10),9)))</f>
        <v/>
      </c>
      <c r="D91" s="167">
        <f>IF(B91="","",INT(B91/1000)+INT(MOD(B91,1000)/100)+INT(MOD(B91,100)/10)+MOD(B91,10))</f>
        <v/>
      </c>
      <c r="E91" s="175">
        <f>IF(B91="","",LET(d1,INT(B91/1000),d2,INT(MOD(B91,1000)/100),d3,INT(MOD(B91,100)/10),d4,MOD(B91,10),p,(d1=d2)+(d1=d3)+(d1=d4)+(d2=d3)+(d2=d4)+(d3=d4),IF(p=6,"1打(豹子)",IF(p=3,"4打",IF(p=2,"6打",IF(p=1,"12打","24打"))))))</f>
        <v/>
      </c>
      <c r="F91" s="179">
        <f>IF(B91="","",INT(B91/10))</f>
        <v/>
      </c>
      <c r="G91" s="182">
        <f>IF(B91="","",MOD(B91,1000))</f>
        <v/>
      </c>
      <c r="H91" s="167" t="n"/>
      <c r="I91" s="167" t="n"/>
      <c r="J91" s="167" t="n"/>
      <c r="K91" s="167" t="n"/>
      <c r="L91" s="180" t="n"/>
      <c r="M91" s="167" t="n"/>
      <c r="N91" s="180" t="n"/>
      <c r="O91" s="167" t="n"/>
      <c r="P91" s="169" t="n"/>
    </row>
    <row r="92" ht="20" customHeight="1">
      <c r="A92" s="157" t="n">
        <v>87</v>
      </c>
      <c r="B92" s="171" t="n"/>
      <c r="C92" s="159">
        <f>IF(B92="","",IF(MOD(INT(B92/1000)+INT(MOD(B92,1000)/100)+INT(MOD(B92,100)/10)+MOD(B92,10),9)=0,9,MOD(INT(B92/1000)+INT(MOD(B92,1000)/100)+INT(MOD(B92,100)/10)+MOD(B92,10),9)))</f>
        <v/>
      </c>
      <c r="D92" s="161">
        <f>IF(B92="","",INT(B92/1000)+INT(MOD(B92,1000)/100)+INT(MOD(B92,100)/10)+MOD(B92,10))</f>
        <v/>
      </c>
      <c r="E92" s="172">
        <f>IF(B92="","",LET(d1,INT(B92/1000),d2,INT(MOD(B92,1000)/100),d3,INT(MOD(B92,100)/10),d4,MOD(B92,10),p,(d1=d2)+(d1=d3)+(d1=d4)+(d2=d3)+(d2=d4)+(d3=d4),IF(p=6,"1打(豹子)",IF(p=3,"4打",IF(p=2,"6打",IF(p=1,"12打","24打"))))))</f>
        <v/>
      </c>
      <c r="F92" s="177">
        <f>IF(B92="","",INT(B92/10))</f>
        <v/>
      </c>
      <c r="G92" s="181">
        <f>IF(B92="","",MOD(B92,1000))</f>
        <v/>
      </c>
      <c r="H92" s="161" t="n"/>
      <c r="I92" s="161" t="n"/>
      <c r="J92" s="161" t="n"/>
      <c r="K92" s="161" t="n"/>
      <c r="L92" s="178" t="n"/>
      <c r="M92" s="161" t="n"/>
      <c r="N92" s="178" t="n"/>
      <c r="O92" s="161" t="n"/>
      <c r="P92" s="163" t="n"/>
    </row>
    <row r="93" ht="20" customHeight="1">
      <c r="A93" s="157" t="n">
        <v>88</v>
      </c>
      <c r="B93" s="174" t="n"/>
      <c r="C93" s="165">
        <f>IF(B93="","",IF(MOD(INT(B93/1000)+INT(MOD(B93,1000)/100)+INT(MOD(B93,100)/10)+MOD(B93,10),9)=0,9,MOD(INT(B93/1000)+INT(MOD(B93,1000)/100)+INT(MOD(B93,100)/10)+MOD(B93,10),9)))</f>
        <v/>
      </c>
      <c r="D93" s="167">
        <f>IF(B93="","",INT(B93/1000)+INT(MOD(B93,1000)/100)+INT(MOD(B93,100)/10)+MOD(B93,10))</f>
        <v/>
      </c>
      <c r="E93" s="175">
        <f>IF(B93="","",LET(d1,INT(B93/1000),d2,INT(MOD(B93,1000)/100),d3,INT(MOD(B93,100)/10),d4,MOD(B93,10),p,(d1=d2)+(d1=d3)+(d1=d4)+(d2=d3)+(d2=d4)+(d3=d4),IF(p=6,"1打(豹子)",IF(p=3,"4打",IF(p=2,"6打",IF(p=1,"12打","24打"))))))</f>
        <v/>
      </c>
      <c r="F93" s="179">
        <f>IF(B93="","",INT(B93/10))</f>
        <v/>
      </c>
      <c r="G93" s="182">
        <f>IF(B93="","",MOD(B93,1000))</f>
        <v/>
      </c>
      <c r="H93" s="167" t="n"/>
      <c r="I93" s="167" t="n"/>
      <c r="J93" s="167" t="n"/>
      <c r="K93" s="167" t="n"/>
      <c r="L93" s="180" t="n"/>
      <c r="M93" s="167" t="n"/>
      <c r="N93" s="180" t="n"/>
      <c r="O93" s="167" t="n"/>
      <c r="P93" s="169" t="n"/>
    </row>
    <row r="94" ht="20" customHeight="1">
      <c r="A94" s="157" t="n">
        <v>89</v>
      </c>
      <c r="B94" s="171" t="n"/>
      <c r="C94" s="159">
        <f>IF(B94="","",IF(MOD(INT(B94/1000)+INT(MOD(B94,1000)/100)+INT(MOD(B94,100)/10)+MOD(B94,10),9)=0,9,MOD(INT(B94/1000)+INT(MOD(B94,1000)/100)+INT(MOD(B94,100)/10)+MOD(B94,10),9)))</f>
        <v/>
      </c>
      <c r="D94" s="161">
        <f>IF(B94="","",INT(B94/1000)+INT(MOD(B94,1000)/100)+INT(MOD(B94,100)/10)+MOD(B94,10))</f>
        <v/>
      </c>
      <c r="E94" s="172">
        <f>IF(B94="","",LET(d1,INT(B94/1000),d2,INT(MOD(B94,1000)/100),d3,INT(MOD(B94,100)/10),d4,MOD(B94,10),p,(d1=d2)+(d1=d3)+(d1=d4)+(d2=d3)+(d2=d4)+(d3=d4),IF(p=6,"1打(豹子)",IF(p=3,"4打",IF(p=2,"6打",IF(p=1,"12打","24打"))))))</f>
        <v/>
      </c>
      <c r="F94" s="177">
        <f>IF(B94="","",INT(B94/10))</f>
        <v/>
      </c>
      <c r="G94" s="181">
        <f>IF(B94="","",MOD(B94,1000))</f>
        <v/>
      </c>
      <c r="H94" s="161" t="n"/>
      <c r="I94" s="161" t="n"/>
      <c r="J94" s="161" t="n"/>
      <c r="K94" s="161" t="n"/>
      <c r="L94" s="178" t="n"/>
      <c r="M94" s="161" t="n"/>
      <c r="N94" s="178" t="n"/>
      <c r="O94" s="161" t="n"/>
      <c r="P94" s="163" t="n"/>
    </row>
    <row r="95" ht="20" customHeight="1">
      <c r="A95" s="157" t="n">
        <v>90</v>
      </c>
      <c r="B95" s="174" t="n"/>
      <c r="C95" s="165">
        <f>IF(B95="","",IF(MOD(INT(B95/1000)+INT(MOD(B95,1000)/100)+INT(MOD(B95,100)/10)+MOD(B95,10),9)=0,9,MOD(INT(B95/1000)+INT(MOD(B95,1000)/100)+INT(MOD(B95,100)/10)+MOD(B95,10),9)))</f>
        <v/>
      </c>
      <c r="D95" s="167">
        <f>IF(B95="","",INT(B95/1000)+INT(MOD(B95,1000)/100)+INT(MOD(B95,100)/10)+MOD(B95,10))</f>
        <v/>
      </c>
      <c r="E95" s="175">
        <f>IF(B95="","",LET(d1,INT(B95/1000),d2,INT(MOD(B95,1000)/100),d3,INT(MOD(B95,100)/10),d4,MOD(B95,10),p,(d1=d2)+(d1=d3)+(d1=d4)+(d2=d3)+(d2=d4)+(d3=d4),IF(p=6,"1打(豹子)",IF(p=3,"4打",IF(p=2,"6打",IF(p=1,"12打","24打"))))))</f>
        <v/>
      </c>
      <c r="F95" s="179">
        <f>IF(B95="","",INT(B95/10))</f>
        <v/>
      </c>
      <c r="G95" s="182">
        <f>IF(B95="","",MOD(B95,1000))</f>
        <v/>
      </c>
      <c r="H95" s="167" t="n"/>
      <c r="I95" s="167" t="n"/>
      <c r="J95" s="167" t="n"/>
      <c r="K95" s="167" t="n"/>
      <c r="L95" s="180" t="n"/>
      <c r="M95" s="167" t="n"/>
      <c r="N95" s="180" t="n"/>
      <c r="O95" s="167" t="n"/>
      <c r="P95" s="169" t="n"/>
    </row>
    <row r="96" ht="20" customHeight="1">
      <c r="A96" s="157" t="n">
        <v>91</v>
      </c>
      <c r="B96" s="171" t="n"/>
      <c r="C96" s="159">
        <f>IF(B96="","",IF(MOD(INT(B96/1000)+INT(MOD(B96,1000)/100)+INT(MOD(B96,100)/10)+MOD(B96,10),9)=0,9,MOD(INT(B96/1000)+INT(MOD(B96,1000)/100)+INT(MOD(B96,100)/10)+MOD(B96,10),9)))</f>
        <v/>
      </c>
      <c r="D96" s="161">
        <f>IF(B96="","",INT(B96/1000)+INT(MOD(B96,1000)/100)+INT(MOD(B96,100)/10)+MOD(B96,10))</f>
        <v/>
      </c>
      <c r="E96" s="172">
        <f>IF(B96="","",LET(d1,INT(B96/1000),d2,INT(MOD(B96,1000)/100),d3,INT(MOD(B96,100)/10),d4,MOD(B96,10),p,(d1=d2)+(d1=d3)+(d1=d4)+(d2=d3)+(d2=d4)+(d3=d4),IF(p=6,"1打(豹子)",IF(p=3,"4打",IF(p=2,"6打",IF(p=1,"12打","24打"))))))</f>
        <v/>
      </c>
      <c r="F96" s="177">
        <f>IF(B96="","",INT(B96/10))</f>
        <v/>
      </c>
      <c r="G96" s="181">
        <f>IF(B96="","",MOD(B96,1000))</f>
        <v/>
      </c>
      <c r="H96" s="161" t="n"/>
      <c r="I96" s="161" t="n"/>
      <c r="J96" s="161" t="n"/>
      <c r="K96" s="161" t="n"/>
      <c r="L96" s="178" t="n"/>
      <c r="M96" s="161" t="n"/>
      <c r="N96" s="178" t="n"/>
      <c r="O96" s="161" t="n"/>
      <c r="P96" s="163" t="n"/>
    </row>
    <row r="97" ht="20" customHeight="1">
      <c r="A97" s="157" t="n">
        <v>92</v>
      </c>
      <c r="B97" s="174" t="n"/>
      <c r="C97" s="165">
        <f>IF(B97="","",IF(MOD(INT(B97/1000)+INT(MOD(B97,1000)/100)+INT(MOD(B97,100)/10)+MOD(B97,10),9)=0,9,MOD(INT(B97/1000)+INT(MOD(B97,1000)/100)+INT(MOD(B97,100)/10)+MOD(B97,10),9)))</f>
        <v/>
      </c>
      <c r="D97" s="167">
        <f>IF(B97="","",INT(B97/1000)+INT(MOD(B97,1000)/100)+INT(MOD(B97,100)/10)+MOD(B97,10))</f>
        <v/>
      </c>
      <c r="E97" s="175">
        <f>IF(B97="","",LET(d1,INT(B97/1000),d2,INT(MOD(B97,1000)/100),d3,INT(MOD(B97,100)/10),d4,MOD(B97,10),p,(d1=d2)+(d1=d3)+(d1=d4)+(d2=d3)+(d2=d4)+(d3=d4),IF(p=6,"1打(豹子)",IF(p=3,"4打",IF(p=2,"6打",IF(p=1,"12打","24打"))))))</f>
        <v/>
      </c>
      <c r="F97" s="179">
        <f>IF(B97="","",INT(B97/10))</f>
        <v/>
      </c>
      <c r="G97" s="182">
        <f>IF(B97="","",MOD(B97,1000))</f>
        <v/>
      </c>
      <c r="H97" s="167" t="n"/>
      <c r="I97" s="167" t="n"/>
      <c r="J97" s="167" t="n"/>
      <c r="K97" s="167" t="n"/>
      <c r="L97" s="180" t="n"/>
      <c r="M97" s="167" t="n"/>
      <c r="N97" s="180" t="n"/>
      <c r="O97" s="167" t="n"/>
      <c r="P97" s="169" t="n"/>
    </row>
    <row r="98" ht="20" customHeight="1">
      <c r="A98" s="157" t="n">
        <v>93</v>
      </c>
      <c r="B98" s="171" t="n"/>
      <c r="C98" s="159">
        <f>IF(B98="","",IF(MOD(INT(B98/1000)+INT(MOD(B98,1000)/100)+INT(MOD(B98,100)/10)+MOD(B98,10),9)=0,9,MOD(INT(B98/1000)+INT(MOD(B98,1000)/100)+INT(MOD(B98,100)/10)+MOD(B98,10),9)))</f>
        <v/>
      </c>
      <c r="D98" s="161">
        <f>IF(B98="","",INT(B98/1000)+INT(MOD(B98,1000)/100)+INT(MOD(B98,100)/10)+MOD(B98,10))</f>
        <v/>
      </c>
      <c r="E98" s="172">
        <f>IF(B98="","",LET(d1,INT(B98/1000),d2,INT(MOD(B98,1000)/100),d3,INT(MOD(B98,100)/10),d4,MOD(B98,10),p,(d1=d2)+(d1=d3)+(d1=d4)+(d2=d3)+(d2=d4)+(d3=d4),IF(p=6,"1打(豹子)",IF(p=3,"4打",IF(p=2,"6打",IF(p=1,"12打","24打"))))))</f>
        <v/>
      </c>
      <c r="F98" s="177">
        <f>IF(B98="","",INT(B98/10))</f>
        <v/>
      </c>
      <c r="G98" s="181">
        <f>IF(B98="","",MOD(B98,1000))</f>
        <v/>
      </c>
      <c r="H98" s="161" t="n"/>
      <c r="I98" s="161" t="n"/>
      <c r="J98" s="161" t="n"/>
      <c r="K98" s="161" t="n"/>
      <c r="L98" s="178" t="n"/>
      <c r="M98" s="161" t="n"/>
      <c r="N98" s="178" t="n"/>
      <c r="O98" s="161" t="n"/>
      <c r="P98" s="163" t="n"/>
    </row>
    <row r="99" ht="20" customHeight="1">
      <c r="A99" s="157" t="n">
        <v>94</v>
      </c>
      <c r="B99" s="174" t="n"/>
      <c r="C99" s="165">
        <f>IF(B99="","",IF(MOD(INT(B99/1000)+INT(MOD(B99,1000)/100)+INT(MOD(B99,100)/10)+MOD(B99,10),9)=0,9,MOD(INT(B99/1000)+INT(MOD(B99,1000)/100)+INT(MOD(B99,100)/10)+MOD(B99,10),9)))</f>
        <v/>
      </c>
      <c r="D99" s="167">
        <f>IF(B99="","",INT(B99/1000)+INT(MOD(B99,1000)/100)+INT(MOD(B99,100)/10)+MOD(B99,10))</f>
        <v/>
      </c>
      <c r="E99" s="175">
        <f>IF(B99="","",LET(d1,INT(B99/1000),d2,INT(MOD(B99,1000)/100),d3,INT(MOD(B99,100)/10),d4,MOD(B99,10),p,(d1=d2)+(d1=d3)+(d1=d4)+(d2=d3)+(d2=d4)+(d3=d4),IF(p=6,"1打(豹子)",IF(p=3,"4打",IF(p=2,"6打",IF(p=1,"12打","24打"))))))</f>
        <v/>
      </c>
      <c r="F99" s="179">
        <f>IF(B99="","",INT(B99/10))</f>
        <v/>
      </c>
      <c r="G99" s="182">
        <f>IF(B99="","",MOD(B99,1000))</f>
        <v/>
      </c>
      <c r="H99" s="167" t="n"/>
      <c r="I99" s="167" t="n"/>
      <c r="J99" s="167" t="n"/>
      <c r="K99" s="167" t="n"/>
      <c r="L99" s="180" t="n"/>
      <c r="M99" s="167" t="n"/>
      <c r="N99" s="180" t="n"/>
      <c r="O99" s="167" t="n"/>
      <c r="P99" s="169" t="n"/>
    </row>
    <row r="100" ht="20" customHeight="1">
      <c r="A100" s="157" t="n">
        <v>95</v>
      </c>
      <c r="B100" s="171" t="n"/>
      <c r="C100" s="159">
        <f>IF(B100="","",IF(MOD(INT(B100/1000)+INT(MOD(B100,1000)/100)+INT(MOD(B100,100)/10)+MOD(B100,10),9)=0,9,MOD(INT(B100/1000)+INT(MOD(B100,1000)/100)+INT(MOD(B100,100)/10)+MOD(B100,10),9)))</f>
        <v/>
      </c>
      <c r="D100" s="161">
        <f>IF(B100="","",INT(B100/1000)+INT(MOD(B100,1000)/100)+INT(MOD(B100,100)/10)+MOD(B100,10))</f>
        <v/>
      </c>
      <c r="E100" s="172">
        <f>IF(B100="","",LET(d1,INT(B100/1000),d2,INT(MOD(B100,1000)/100),d3,INT(MOD(B100,100)/10),d4,MOD(B100,10),p,(d1=d2)+(d1=d3)+(d1=d4)+(d2=d3)+(d2=d4)+(d3=d4),IF(p=6,"1打(豹子)",IF(p=3,"4打",IF(p=2,"6打",IF(p=1,"12打","24打"))))))</f>
        <v/>
      </c>
      <c r="F100" s="177">
        <f>IF(B100="","",INT(B100/10))</f>
        <v/>
      </c>
      <c r="G100" s="181">
        <f>IF(B100="","",MOD(B100,1000))</f>
        <v/>
      </c>
      <c r="H100" s="161" t="n"/>
      <c r="I100" s="161" t="n"/>
      <c r="J100" s="161" t="n"/>
      <c r="K100" s="161" t="n"/>
      <c r="L100" s="178" t="n"/>
      <c r="M100" s="161" t="n"/>
      <c r="N100" s="178" t="n"/>
      <c r="O100" s="161" t="n"/>
      <c r="P100" s="163" t="n"/>
    </row>
    <row r="101" ht="20" customHeight="1">
      <c r="A101" s="157" t="n">
        <v>96</v>
      </c>
      <c r="B101" s="174" t="n"/>
      <c r="C101" s="165">
        <f>IF(B101="","",IF(MOD(INT(B101/1000)+INT(MOD(B101,1000)/100)+INT(MOD(B101,100)/10)+MOD(B101,10),9)=0,9,MOD(INT(B101/1000)+INT(MOD(B101,1000)/100)+INT(MOD(B101,100)/10)+MOD(B101,10),9)))</f>
        <v/>
      </c>
      <c r="D101" s="167">
        <f>IF(B101="","",INT(B101/1000)+INT(MOD(B101,1000)/100)+INT(MOD(B101,100)/10)+MOD(B101,10))</f>
        <v/>
      </c>
      <c r="E101" s="175">
        <f>IF(B101="","",LET(d1,INT(B101/1000),d2,INT(MOD(B101,1000)/100),d3,INT(MOD(B101,100)/10),d4,MOD(B101,10),p,(d1=d2)+(d1=d3)+(d1=d4)+(d2=d3)+(d2=d4)+(d3=d4),IF(p=6,"1打(豹子)",IF(p=3,"4打",IF(p=2,"6打",IF(p=1,"12打","24打"))))))</f>
        <v/>
      </c>
      <c r="F101" s="179">
        <f>IF(B101="","",INT(B101/10))</f>
        <v/>
      </c>
      <c r="G101" s="182">
        <f>IF(B101="","",MOD(B101,1000))</f>
        <v/>
      </c>
      <c r="H101" s="167" t="n"/>
      <c r="I101" s="167" t="n"/>
      <c r="J101" s="167" t="n"/>
      <c r="K101" s="167" t="n"/>
      <c r="L101" s="180" t="n"/>
      <c r="M101" s="167" t="n"/>
      <c r="N101" s="180" t="n"/>
      <c r="O101" s="167" t="n"/>
      <c r="P101" s="169" t="n"/>
    </row>
    <row r="102" ht="20" customHeight="1">
      <c r="A102" s="157" t="n">
        <v>97</v>
      </c>
      <c r="B102" s="171" t="n"/>
      <c r="C102" s="159">
        <f>IF(B102="","",IF(MOD(INT(B102/1000)+INT(MOD(B102,1000)/100)+INT(MOD(B102,100)/10)+MOD(B102,10),9)=0,9,MOD(INT(B102/1000)+INT(MOD(B102,1000)/100)+INT(MOD(B102,100)/10)+MOD(B102,10),9)))</f>
        <v/>
      </c>
      <c r="D102" s="161">
        <f>IF(B102="","",INT(B102/1000)+INT(MOD(B102,1000)/100)+INT(MOD(B102,100)/10)+MOD(B102,10))</f>
        <v/>
      </c>
      <c r="E102" s="172">
        <f>IF(B102="","",LET(d1,INT(B102/1000),d2,INT(MOD(B102,1000)/100),d3,INT(MOD(B102,100)/10),d4,MOD(B102,10),p,(d1=d2)+(d1=d3)+(d1=d4)+(d2=d3)+(d2=d4)+(d3=d4),IF(p=6,"1打(豹子)",IF(p=3,"4打",IF(p=2,"6打",IF(p=1,"12打","24打"))))))</f>
        <v/>
      </c>
      <c r="F102" s="177">
        <f>IF(B102="","",INT(B102/10))</f>
        <v/>
      </c>
      <c r="G102" s="181">
        <f>IF(B102="","",MOD(B102,1000))</f>
        <v/>
      </c>
      <c r="H102" s="161" t="n"/>
      <c r="I102" s="161" t="n"/>
      <c r="J102" s="161" t="n"/>
      <c r="K102" s="161" t="n"/>
      <c r="L102" s="178" t="n"/>
      <c r="M102" s="161" t="n"/>
      <c r="N102" s="178" t="n"/>
      <c r="O102" s="161" t="n"/>
      <c r="P102" s="163" t="n"/>
    </row>
    <row r="103" ht="20" customHeight="1">
      <c r="A103" s="157" t="n">
        <v>98</v>
      </c>
      <c r="B103" s="174" t="n"/>
      <c r="C103" s="165">
        <f>IF(B103="","",IF(MOD(INT(B103/1000)+INT(MOD(B103,1000)/100)+INT(MOD(B103,100)/10)+MOD(B103,10),9)=0,9,MOD(INT(B103/1000)+INT(MOD(B103,1000)/100)+INT(MOD(B103,100)/10)+MOD(B103,10),9)))</f>
        <v/>
      </c>
      <c r="D103" s="167">
        <f>IF(B103="","",INT(B103/1000)+INT(MOD(B103,1000)/100)+INT(MOD(B103,100)/10)+MOD(B103,10))</f>
        <v/>
      </c>
      <c r="E103" s="175">
        <f>IF(B103="","",LET(d1,INT(B103/1000),d2,INT(MOD(B103,1000)/100),d3,INT(MOD(B103,100)/10),d4,MOD(B103,10),p,(d1=d2)+(d1=d3)+(d1=d4)+(d2=d3)+(d2=d4)+(d3=d4),IF(p=6,"1打(豹子)",IF(p=3,"4打",IF(p=2,"6打",IF(p=1,"12打","24打"))))))</f>
        <v/>
      </c>
      <c r="F103" s="179">
        <f>IF(B103="","",INT(B103/10))</f>
        <v/>
      </c>
      <c r="G103" s="182">
        <f>IF(B103="","",MOD(B103,1000))</f>
        <v/>
      </c>
      <c r="H103" s="167" t="n"/>
      <c r="I103" s="167" t="n"/>
      <c r="J103" s="167" t="n"/>
      <c r="K103" s="167" t="n"/>
      <c r="L103" s="180" t="n"/>
      <c r="M103" s="167" t="n"/>
      <c r="N103" s="180" t="n"/>
      <c r="O103" s="167" t="n"/>
      <c r="P103" s="169" t="n"/>
    </row>
    <row r="104" ht="20" customHeight="1">
      <c r="A104" s="157" t="n">
        <v>99</v>
      </c>
      <c r="B104" s="171" t="n"/>
      <c r="C104" s="159">
        <f>IF(B104="","",IF(MOD(INT(B104/1000)+INT(MOD(B104,1000)/100)+INT(MOD(B104,100)/10)+MOD(B104,10),9)=0,9,MOD(INT(B104/1000)+INT(MOD(B104,1000)/100)+INT(MOD(B104,100)/10)+MOD(B104,10),9)))</f>
        <v/>
      </c>
      <c r="D104" s="161">
        <f>IF(B104="","",INT(B104/1000)+INT(MOD(B104,1000)/100)+INT(MOD(B104,100)/10)+MOD(B104,10))</f>
        <v/>
      </c>
      <c r="E104" s="172">
        <f>IF(B104="","",LET(d1,INT(B104/1000),d2,INT(MOD(B104,1000)/100),d3,INT(MOD(B104,100)/10),d4,MOD(B104,10),p,(d1=d2)+(d1=d3)+(d1=d4)+(d2=d3)+(d2=d4)+(d3=d4),IF(p=6,"1打(豹子)",IF(p=3,"4打",IF(p=2,"6打",IF(p=1,"12打","24打"))))))</f>
        <v/>
      </c>
      <c r="F104" s="177">
        <f>IF(B104="","",INT(B104/10))</f>
        <v/>
      </c>
      <c r="G104" s="181">
        <f>IF(B104="","",MOD(B104,1000))</f>
        <v/>
      </c>
      <c r="H104" s="161" t="n"/>
      <c r="I104" s="161" t="n"/>
      <c r="J104" s="161" t="n"/>
      <c r="K104" s="161" t="n"/>
      <c r="L104" s="178" t="n"/>
      <c r="M104" s="161" t="n"/>
      <c r="N104" s="178" t="n"/>
      <c r="O104" s="161" t="n"/>
      <c r="P104" s="163" t="n"/>
    </row>
    <row r="105" ht="20" customHeight="1">
      <c r="A105" s="157" t="n">
        <v>100</v>
      </c>
      <c r="B105" s="174" t="n"/>
      <c r="C105" s="165">
        <f>IF(B105="","",IF(MOD(INT(B105/1000)+INT(MOD(B105,1000)/100)+INT(MOD(B105,100)/10)+MOD(B105,10),9)=0,9,MOD(INT(B105/1000)+INT(MOD(B105,1000)/100)+INT(MOD(B105,100)/10)+MOD(B105,10),9)))</f>
        <v/>
      </c>
      <c r="D105" s="167">
        <f>IF(B105="","",INT(B105/1000)+INT(MOD(B105,1000)/100)+INT(MOD(B105,100)/10)+MOD(B105,10))</f>
        <v/>
      </c>
      <c r="E105" s="175">
        <f>IF(B105="","",LET(d1,INT(B105/1000),d2,INT(MOD(B105,1000)/100),d3,INT(MOD(B105,100)/10),d4,MOD(B105,10),p,(d1=d2)+(d1=d3)+(d1=d4)+(d2=d3)+(d2=d4)+(d3=d4),IF(p=6,"1打(豹子)",IF(p=3,"4打",IF(p=2,"6打",IF(p=1,"12打","24打"))))))</f>
        <v/>
      </c>
      <c r="F105" s="179">
        <f>IF(B105="","",INT(B105/10))</f>
        <v/>
      </c>
      <c r="G105" s="182">
        <f>IF(B105="","",MOD(B105,1000))</f>
        <v/>
      </c>
      <c r="H105" s="167" t="n"/>
      <c r="I105" s="167" t="n"/>
      <c r="J105" s="167" t="n"/>
      <c r="K105" s="167" t="n"/>
      <c r="L105" s="180" t="n"/>
      <c r="M105" s="167" t="n"/>
      <c r="N105" s="180" t="n"/>
      <c r="O105" s="167" t="n"/>
      <c r="P105" s="169" t="n"/>
    </row>
  </sheetData>
  <mergeCells count="2">
    <mergeCell ref="A4"/>
    <mergeCell ref="A2:P2"/>
  </mergeCells>
  <conditionalFormatting sqref="A6:A105">
    <cfRule type="expression" priority="1" dxfId="0">
      <formula>=$H6="活跃"</formula>
    </cfRule>
    <cfRule type="expression" priority="17" dxfId="1">
      <formula>=$H6="推荐"</formula>
    </cfRule>
    <cfRule type="expression" priority="33" dxfId="2">
      <formula>=$H6="规律等待中"</formula>
    </cfRule>
    <cfRule type="expression" priority="49" dxfId="3">
      <formula>=$H6="下半年出现"</formula>
    </cfRule>
    <cfRule type="expression" priority="65" dxfId="4">
      <formula>=$H6="冷号回补"</formula>
    </cfRule>
    <cfRule type="expression" priority="81" dxfId="5">
      <formula>=$H6="观察中"</formula>
    </cfRule>
    <cfRule type="expression" priority="97" dxfId="6">
      <formula>=$H6="已命中"</formula>
    </cfRule>
    <cfRule type="expression" priority="113" dxfId="7">
      <formula>=$H6="忽略"</formula>
    </cfRule>
  </conditionalFormatting>
  <conditionalFormatting sqref="B6:B105">
    <cfRule type="expression" priority="2" dxfId="0">
      <formula>=$H6="活跃"</formula>
    </cfRule>
    <cfRule type="expression" priority="18" dxfId="1">
      <formula>=$H6="推荐"</formula>
    </cfRule>
    <cfRule type="expression" priority="34" dxfId="2">
      <formula>=$H6="规律等待中"</formula>
    </cfRule>
    <cfRule type="expression" priority="50" dxfId="3">
      <formula>=$H6="下半年出现"</formula>
    </cfRule>
    <cfRule type="expression" priority="66" dxfId="4">
      <formula>=$H6="冷号回补"</formula>
    </cfRule>
    <cfRule type="expression" priority="82" dxfId="5">
      <formula>=$H6="观察中"</formula>
    </cfRule>
    <cfRule type="expression" priority="98" dxfId="6">
      <formula>=$H6="已命中"</formula>
    </cfRule>
    <cfRule type="expression" priority="114" dxfId="7">
      <formula>=$H6="忽略"</formula>
    </cfRule>
    <cfRule type="expression" priority="129" dxfId="8">
      <formula>=$I6="★★★ 高"</formula>
    </cfRule>
  </conditionalFormatting>
  <conditionalFormatting sqref="C6:C105">
    <cfRule type="expression" priority="3" dxfId="0">
      <formula>=$H6="活跃"</formula>
    </cfRule>
    <cfRule type="expression" priority="19" dxfId="1">
      <formula>=$H6="推荐"</formula>
    </cfRule>
    <cfRule type="expression" priority="35" dxfId="2">
      <formula>=$H6="规律等待中"</formula>
    </cfRule>
    <cfRule type="expression" priority="51" dxfId="3">
      <formula>=$H6="下半年出现"</formula>
    </cfRule>
    <cfRule type="expression" priority="67" dxfId="4">
      <formula>=$H6="冷号回补"</formula>
    </cfRule>
    <cfRule type="expression" priority="83" dxfId="5">
      <formula>=$H6="观察中"</formula>
    </cfRule>
    <cfRule type="expression" priority="99" dxfId="6">
      <formula>=$H6="已命中"</formula>
    </cfRule>
    <cfRule type="expression" priority="115" dxfId="7">
      <formula>=$H6="忽略"</formula>
    </cfRule>
  </conditionalFormatting>
  <conditionalFormatting sqref="D6:D105">
    <cfRule type="expression" priority="4" dxfId="0">
      <formula>=$H6="活跃"</formula>
    </cfRule>
    <cfRule type="expression" priority="20" dxfId="1">
      <formula>=$H6="推荐"</formula>
    </cfRule>
    <cfRule type="expression" priority="36" dxfId="2">
      <formula>=$H6="规律等待中"</formula>
    </cfRule>
    <cfRule type="expression" priority="52" dxfId="3">
      <formula>=$H6="下半年出现"</formula>
    </cfRule>
    <cfRule type="expression" priority="68" dxfId="4">
      <formula>=$H6="冷号回补"</formula>
    </cfRule>
    <cfRule type="expression" priority="84" dxfId="5">
      <formula>=$H6="观察中"</formula>
    </cfRule>
    <cfRule type="expression" priority="100" dxfId="6">
      <formula>=$H6="已命中"</formula>
    </cfRule>
    <cfRule type="expression" priority="116" dxfId="7">
      <formula>=$H6="忽略"</formula>
    </cfRule>
  </conditionalFormatting>
  <conditionalFormatting sqref="E6:E105">
    <cfRule type="expression" priority="5" dxfId="0">
      <formula>=$H6="活跃"</formula>
    </cfRule>
    <cfRule type="expression" priority="21" dxfId="1">
      <formula>=$H6="推荐"</formula>
    </cfRule>
    <cfRule type="expression" priority="37" dxfId="2">
      <formula>=$H6="规律等待中"</formula>
    </cfRule>
    <cfRule type="expression" priority="53" dxfId="3">
      <formula>=$H6="下半年出现"</formula>
    </cfRule>
    <cfRule type="expression" priority="69" dxfId="4">
      <formula>=$H6="冷号回补"</formula>
    </cfRule>
    <cfRule type="expression" priority="85" dxfId="5">
      <formula>=$H6="观察中"</formula>
    </cfRule>
    <cfRule type="expression" priority="101" dxfId="6">
      <formula>=$H6="已命中"</formula>
    </cfRule>
    <cfRule type="expression" priority="117" dxfId="7">
      <formula>=$H6="忽略"</formula>
    </cfRule>
  </conditionalFormatting>
  <conditionalFormatting sqref="F6:F105">
    <cfRule type="expression" priority="6" dxfId="0">
      <formula>=$H6="活跃"</formula>
    </cfRule>
    <cfRule type="expression" priority="22" dxfId="1">
      <formula>=$H6="推荐"</formula>
    </cfRule>
    <cfRule type="expression" priority="38" dxfId="2">
      <formula>=$H6="规律等待中"</formula>
    </cfRule>
    <cfRule type="expression" priority="54" dxfId="3">
      <formula>=$H6="下半年出现"</formula>
    </cfRule>
    <cfRule type="expression" priority="70" dxfId="4">
      <formula>=$H6="冷号回补"</formula>
    </cfRule>
    <cfRule type="expression" priority="86" dxfId="5">
      <formula>=$H6="观察中"</formula>
    </cfRule>
    <cfRule type="expression" priority="102" dxfId="6">
      <formula>=$H6="已命中"</formula>
    </cfRule>
    <cfRule type="expression" priority="118" dxfId="7">
      <formula>=$H6="忽略"</formula>
    </cfRule>
  </conditionalFormatting>
  <conditionalFormatting sqref="G6:G105">
    <cfRule type="expression" priority="7" dxfId="0">
      <formula>=$H6="活跃"</formula>
    </cfRule>
    <cfRule type="expression" priority="23" dxfId="1">
      <formula>=$H6="推荐"</formula>
    </cfRule>
    <cfRule type="expression" priority="39" dxfId="2">
      <formula>=$H6="规律等待中"</formula>
    </cfRule>
    <cfRule type="expression" priority="55" dxfId="3">
      <formula>=$H6="下半年出现"</formula>
    </cfRule>
    <cfRule type="expression" priority="71" dxfId="4">
      <formula>=$H6="冷号回补"</formula>
    </cfRule>
    <cfRule type="expression" priority="87" dxfId="5">
      <formula>=$H6="观察中"</formula>
    </cfRule>
    <cfRule type="expression" priority="103" dxfId="6">
      <formula>=$H6="已命中"</formula>
    </cfRule>
    <cfRule type="expression" priority="119" dxfId="7">
      <formula>=$H6="忽略"</formula>
    </cfRule>
  </conditionalFormatting>
  <conditionalFormatting sqref="H6:H105">
    <cfRule type="expression" priority="8" dxfId="0">
      <formula>=$H6="活跃"</formula>
    </cfRule>
    <cfRule type="expression" priority="24" dxfId="1">
      <formula>=$H6="推荐"</formula>
    </cfRule>
    <cfRule type="expression" priority="40" dxfId="2">
      <formula>=$H6="规律等待中"</formula>
    </cfRule>
    <cfRule type="expression" priority="56" dxfId="3">
      <formula>=$H6="下半年出现"</formula>
    </cfRule>
    <cfRule type="expression" priority="72" dxfId="4">
      <formula>=$H6="冷号回补"</formula>
    </cfRule>
    <cfRule type="expression" priority="88" dxfId="5">
      <formula>=$H6="观察中"</formula>
    </cfRule>
    <cfRule type="expression" priority="104" dxfId="6">
      <formula>=$H6="已命中"</formula>
    </cfRule>
    <cfRule type="expression" priority="120" dxfId="7">
      <formula>=$H6="忽略"</formula>
    </cfRule>
  </conditionalFormatting>
  <conditionalFormatting sqref="I6:I105">
    <cfRule type="expression" priority="9" dxfId="0">
      <formula>=$H6="活跃"</formula>
    </cfRule>
    <cfRule type="expression" priority="25" dxfId="1">
      <formula>=$H6="推荐"</formula>
    </cfRule>
    <cfRule type="expression" priority="41" dxfId="2">
      <formula>=$H6="规律等待中"</formula>
    </cfRule>
    <cfRule type="expression" priority="57" dxfId="3">
      <formula>=$H6="下半年出现"</formula>
    </cfRule>
    <cfRule type="expression" priority="73" dxfId="4">
      <formula>=$H6="冷号回补"</formula>
    </cfRule>
    <cfRule type="expression" priority="89" dxfId="5">
      <formula>=$H6="观察中"</formula>
    </cfRule>
    <cfRule type="expression" priority="105" dxfId="6">
      <formula>=$H6="已命中"</formula>
    </cfRule>
    <cfRule type="expression" priority="121" dxfId="7">
      <formula>=$H6="忽略"</formula>
    </cfRule>
  </conditionalFormatting>
  <conditionalFormatting sqref="J6:J105">
    <cfRule type="expression" priority="10" dxfId="0">
      <formula>=$H6="活跃"</formula>
    </cfRule>
    <cfRule type="expression" priority="26" dxfId="1">
      <formula>=$H6="推荐"</formula>
    </cfRule>
    <cfRule type="expression" priority="42" dxfId="2">
      <formula>=$H6="规律等待中"</formula>
    </cfRule>
    <cfRule type="expression" priority="58" dxfId="3">
      <formula>=$H6="下半年出现"</formula>
    </cfRule>
    <cfRule type="expression" priority="74" dxfId="4">
      <formula>=$H6="冷号回补"</formula>
    </cfRule>
    <cfRule type="expression" priority="90" dxfId="5">
      <formula>=$H6="观察中"</formula>
    </cfRule>
    <cfRule type="expression" priority="106" dxfId="6">
      <formula>=$H6="已命中"</formula>
    </cfRule>
    <cfRule type="expression" priority="122" dxfId="7">
      <formula>=$H6="忽略"</formula>
    </cfRule>
  </conditionalFormatting>
  <conditionalFormatting sqref="K6:K105">
    <cfRule type="expression" priority="11" dxfId="0">
      <formula>=$H6="活跃"</formula>
    </cfRule>
    <cfRule type="expression" priority="27" dxfId="1">
      <formula>=$H6="推荐"</formula>
    </cfRule>
    <cfRule type="expression" priority="43" dxfId="2">
      <formula>=$H6="规律等待中"</formula>
    </cfRule>
    <cfRule type="expression" priority="59" dxfId="3">
      <formula>=$H6="下半年出现"</formula>
    </cfRule>
    <cfRule type="expression" priority="75" dxfId="4">
      <formula>=$H6="冷号回补"</formula>
    </cfRule>
    <cfRule type="expression" priority="91" dxfId="5">
      <formula>=$H6="观察中"</formula>
    </cfRule>
    <cfRule type="expression" priority="107" dxfId="6">
      <formula>=$H6="已命中"</formula>
    </cfRule>
    <cfRule type="expression" priority="123" dxfId="7">
      <formula>=$H6="忽略"</formula>
    </cfRule>
  </conditionalFormatting>
  <conditionalFormatting sqref="L6:L105">
    <cfRule type="expression" priority="12" dxfId="0">
      <formula>=$H6="活跃"</formula>
    </cfRule>
    <cfRule type="expression" priority="28" dxfId="1">
      <formula>=$H6="推荐"</formula>
    </cfRule>
    <cfRule type="expression" priority="44" dxfId="2">
      <formula>=$H6="规律等待中"</formula>
    </cfRule>
    <cfRule type="expression" priority="60" dxfId="3">
      <formula>=$H6="下半年出现"</formula>
    </cfRule>
    <cfRule type="expression" priority="76" dxfId="4">
      <formula>=$H6="冷号回补"</formula>
    </cfRule>
    <cfRule type="expression" priority="92" dxfId="5">
      <formula>=$H6="观察中"</formula>
    </cfRule>
    <cfRule type="expression" priority="108" dxfId="6">
      <formula>=$H6="已命中"</formula>
    </cfRule>
    <cfRule type="expression" priority="124" dxfId="7">
      <formula>=$H6="忽略"</formula>
    </cfRule>
  </conditionalFormatting>
  <conditionalFormatting sqref="M6:M105">
    <cfRule type="expression" priority="13" dxfId="0">
      <formula>=$H6="活跃"</formula>
    </cfRule>
    <cfRule type="expression" priority="29" dxfId="1">
      <formula>=$H6="推荐"</formula>
    </cfRule>
    <cfRule type="expression" priority="45" dxfId="2">
      <formula>=$H6="规律等待中"</formula>
    </cfRule>
    <cfRule type="expression" priority="61" dxfId="3">
      <formula>=$H6="下半年出现"</formula>
    </cfRule>
    <cfRule type="expression" priority="77" dxfId="4">
      <formula>=$H6="冷号回补"</formula>
    </cfRule>
    <cfRule type="expression" priority="93" dxfId="5">
      <formula>=$H6="观察中"</formula>
    </cfRule>
    <cfRule type="expression" priority="109" dxfId="6">
      <formula>=$H6="已命中"</formula>
    </cfRule>
    <cfRule type="expression" priority="125" dxfId="7">
      <formula>=$H6="忽略"</formula>
    </cfRule>
  </conditionalFormatting>
  <conditionalFormatting sqref="N6:N105">
    <cfRule type="expression" priority="14" dxfId="0">
      <formula>=$H6="活跃"</formula>
    </cfRule>
    <cfRule type="expression" priority="30" dxfId="1">
      <formula>=$H6="推荐"</formula>
    </cfRule>
    <cfRule type="expression" priority="46" dxfId="2">
      <formula>=$H6="规律等待中"</formula>
    </cfRule>
    <cfRule type="expression" priority="62" dxfId="3">
      <formula>=$H6="下半年出现"</formula>
    </cfRule>
    <cfRule type="expression" priority="78" dxfId="4">
      <formula>=$H6="冷号回补"</formula>
    </cfRule>
    <cfRule type="expression" priority="94" dxfId="5">
      <formula>=$H6="观察中"</formula>
    </cfRule>
    <cfRule type="expression" priority="110" dxfId="6">
      <formula>=$H6="已命中"</formula>
    </cfRule>
    <cfRule type="expression" priority="126" dxfId="7">
      <formula>=$H6="忽略"</formula>
    </cfRule>
  </conditionalFormatting>
  <conditionalFormatting sqref="O6:O105">
    <cfRule type="expression" priority="15" dxfId="0">
      <formula>=$H6="活跃"</formula>
    </cfRule>
    <cfRule type="expression" priority="31" dxfId="1">
      <formula>=$H6="推荐"</formula>
    </cfRule>
    <cfRule type="expression" priority="47" dxfId="2">
      <formula>=$H6="规律等待中"</formula>
    </cfRule>
    <cfRule type="expression" priority="63" dxfId="3">
      <formula>=$H6="下半年出现"</formula>
    </cfRule>
    <cfRule type="expression" priority="79" dxfId="4">
      <formula>=$H6="冷号回补"</formula>
    </cfRule>
    <cfRule type="expression" priority="95" dxfId="5">
      <formula>=$H6="观察中"</formula>
    </cfRule>
    <cfRule type="expression" priority="111" dxfId="6">
      <formula>=$H6="已命中"</formula>
    </cfRule>
    <cfRule type="expression" priority="127" dxfId="7">
      <formula>=$H6="忽略"</formula>
    </cfRule>
    <cfRule type="expression" priority="130" dxfId="9">
      <formula>=LEFT($O6,1)="✅"</formula>
    </cfRule>
    <cfRule type="expression" priority="131" dxfId="10">
      <formula>=LEFT($O6,1)="❌"</formula>
    </cfRule>
  </conditionalFormatting>
  <conditionalFormatting sqref="P6:P105">
    <cfRule type="expression" priority="16" dxfId="0">
      <formula>=$H6="活跃"</formula>
    </cfRule>
    <cfRule type="expression" priority="32" dxfId="1">
      <formula>=$H6="推荐"</formula>
    </cfRule>
    <cfRule type="expression" priority="48" dxfId="2">
      <formula>=$H6="规律等待中"</formula>
    </cfRule>
    <cfRule type="expression" priority="64" dxfId="3">
      <formula>=$H6="下半年出现"</formula>
    </cfRule>
    <cfRule type="expression" priority="80" dxfId="4">
      <formula>=$H6="冷号回补"</formula>
    </cfRule>
    <cfRule type="expression" priority="96" dxfId="5">
      <formula>=$H6="观察中"</formula>
    </cfRule>
    <cfRule type="expression" priority="112" dxfId="6">
      <formula>=$H6="已命中"</formula>
    </cfRule>
    <cfRule type="expression" priority="128" dxfId="7">
      <formula>=$H6="忽略"</formula>
    </cfRule>
  </conditionalFormatting>
  <dataValidations count="4">
    <dataValidation sqref="H6:H105" showDropDown="0" showInputMessage="0" showErrorMessage="0" allowBlank="1" type="list">
      <formula1>"活跃,推荐,规律等待中,下半年出现,冷号回补,观察中,已命中,忽略"</formula1>
    </dataValidation>
    <dataValidation sqref="I6:I105" showDropDown="0" showInputMessage="0" showErrorMessage="0" allowBlank="1" type="list">
      <formula1>"★★★ 高,★★ 中,★ 低"</formula1>
    </dataValidation>
    <dataValidation sqref="J6:J105" showDropDown="0" showInputMessage="0" showErrorMessage="0" allowBlank="1" type="list">
      <formula1>"万能,跑马,多多,新加坡,豪龙,全部"</formula1>
    </dataValidation>
    <dataValidation sqref="O6:O105" showDropDown="0" showInputMessage="0" showErrorMessage="0" allowBlank="1" type="list">
      <formula1>"✅ 命中,❌ 未中,— 待验证"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2026-06-02T15:45:00Z</dcterms:created>
  <dcterms:modified xsi:type="dcterms:W3CDTF">2026-06-09T14:34:12Z</dcterms:modified>
  <cp:lastModifiedBy>Becool Yong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644B00DE5B7F4036B05190C435E8D2E9_12</vt:lpwstr>
  </property>
  <property name="KSOProductBuildVer" fmtid="{D5CDD505-2E9C-101B-9397-08002B2CF9AE}" pid="3">
    <vt:lpwstr>3076-12.1.0.25862</vt:lpwstr>
  </property>
  <property name="CalculationRule" fmtid="{D5CDD505-2E9C-101B-9397-08002B2CF9AE}" pid="4">
    <vt:i4>0</vt:i4>
  </property>
</Properties>
</file>